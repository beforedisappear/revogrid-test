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PIX Robotics\PIX CPM\"/>
    </mc:Choice>
  </mc:AlternateContent>
  <xr:revisionPtr revIDLastSave="0" documentId="8_{A2AC4E7C-F4C1-4F1D-9F92-9DBCB327A51D}" xr6:coauthVersionLast="47" xr6:coauthVersionMax="47" xr10:uidLastSave="{00000000-0000-0000-0000-000000000000}"/>
  <bookViews>
    <workbookView xWindow="-108" yWindow="348" windowWidth="46296" windowHeight="25680" activeTab="3" xr2:uid="{6BA11510-2E1D-4BAC-A4A1-2EE28C23366A}"/>
  </bookViews>
  <sheets>
    <sheet name="Sheet1" sheetId="1" r:id="rId1"/>
    <sheet name="Sheet2" sheetId="2" r:id="rId2"/>
    <sheet name="BI →CPM License Mapping" sheetId="6" r:id="rId3"/>
    <sheet name="Raw Data" sheetId="3" r:id="rId4"/>
    <sheet name="Data Cube View" sheetId="4" r:id="rId5"/>
  </sheets>
  <calcPr calcId="191029"/>
  <pivotCaches>
    <pivotCache cacheId="17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3" i="3" l="1"/>
  <c r="A144" i="3"/>
  <c r="A145" i="3"/>
  <c r="A146" i="3"/>
  <c r="B143" i="3"/>
  <c r="B144" i="3"/>
  <c r="B145" i="3"/>
  <c r="B146" i="3"/>
  <c r="C143" i="3"/>
  <c r="C144" i="3"/>
  <c r="C145" i="3"/>
  <c r="C146" i="3"/>
  <c r="H143" i="3"/>
  <c r="H144" i="3"/>
  <c r="H145" i="3"/>
  <c r="H146" i="3"/>
  <c r="I143" i="3"/>
  <c r="I144" i="3"/>
  <c r="I145" i="3"/>
  <c r="I146" i="3"/>
  <c r="J143" i="3"/>
  <c r="J144" i="3"/>
  <c r="J145" i="3"/>
  <c r="J146" i="3"/>
  <c r="A142" i="3"/>
  <c r="B142" i="3"/>
  <c r="C142" i="3"/>
  <c r="H142" i="3"/>
  <c r="I142" i="3"/>
  <c r="J14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I77" i="3"/>
  <c r="I78" i="3"/>
  <c r="I79" i="3"/>
  <c r="I80" i="3"/>
  <c r="I81" i="3"/>
  <c r="J77" i="3"/>
  <c r="J78" i="3"/>
  <c r="J79" i="3"/>
  <c r="J80" i="3"/>
  <c r="J81" i="3"/>
  <c r="I73" i="3"/>
  <c r="I74" i="3"/>
  <c r="I75" i="3"/>
  <c r="I76" i="3"/>
  <c r="J73" i="3"/>
  <c r="J74" i="3"/>
  <c r="J75" i="3"/>
  <c r="J76" i="3"/>
  <c r="I72" i="3"/>
  <c r="J72" i="3"/>
  <c r="I68" i="3"/>
  <c r="I69" i="3"/>
  <c r="I70" i="3"/>
  <c r="I71" i="3"/>
  <c r="J68" i="3"/>
  <c r="J69" i="3"/>
  <c r="J70" i="3"/>
  <c r="J71" i="3"/>
  <c r="I67" i="3"/>
  <c r="J67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I62" i="3"/>
  <c r="I63" i="3"/>
  <c r="I64" i="3"/>
  <c r="I65" i="3"/>
  <c r="I66" i="3"/>
  <c r="I57" i="3"/>
  <c r="I58" i="3"/>
  <c r="I59" i="3"/>
  <c r="I60" i="3"/>
  <c r="I61" i="3"/>
  <c r="I52" i="3"/>
  <c r="I53" i="3"/>
  <c r="I54" i="3"/>
  <c r="I55" i="3"/>
  <c r="I56" i="3"/>
  <c r="I51" i="3"/>
  <c r="I50" i="3"/>
  <c r="I49" i="3"/>
  <c r="I48" i="3"/>
  <c r="I47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C32" i="2"/>
  <c r="K144" i="3" l="1"/>
  <c r="K142" i="3"/>
  <c r="K146" i="3"/>
  <c r="K145" i="3"/>
  <c r="K143" i="3"/>
  <c r="K135" i="3"/>
  <c r="K119" i="3"/>
  <c r="K103" i="3"/>
  <c r="K87" i="3"/>
  <c r="K129" i="3"/>
  <c r="K93" i="3"/>
  <c r="K95" i="3"/>
  <c r="K113" i="3"/>
  <c r="K127" i="3"/>
  <c r="K71" i="3"/>
  <c r="K133" i="3"/>
  <c r="K117" i="3"/>
  <c r="K101" i="3"/>
  <c r="K85" i="3"/>
  <c r="K37" i="3"/>
  <c r="K111" i="3"/>
  <c r="K21" i="3"/>
  <c r="K5" i="3"/>
  <c r="K53" i="3"/>
  <c r="K72" i="3"/>
  <c r="K141" i="3"/>
  <c r="K39" i="3"/>
  <c r="K23" i="3"/>
  <c r="K7" i="3"/>
  <c r="K38" i="3"/>
  <c r="K22" i="3"/>
  <c r="K6" i="3"/>
  <c r="K97" i="3"/>
  <c r="K128" i="3"/>
  <c r="K92" i="3"/>
  <c r="K31" i="3"/>
  <c r="K63" i="3"/>
  <c r="K77" i="3"/>
  <c r="K122" i="3"/>
  <c r="K134" i="3"/>
  <c r="K118" i="3"/>
  <c r="K102" i="3"/>
  <c r="K86" i="3"/>
  <c r="K94" i="3"/>
  <c r="K47" i="3"/>
  <c r="K138" i="3"/>
  <c r="K60" i="3"/>
  <c r="K78" i="3"/>
  <c r="K80" i="3"/>
  <c r="K79" i="3"/>
  <c r="K32" i="3"/>
  <c r="K16" i="3"/>
  <c r="K48" i="3"/>
  <c r="K64" i="3"/>
  <c r="K55" i="3"/>
  <c r="K54" i="3"/>
  <c r="K132" i="3"/>
  <c r="K45" i="3"/>
  <c r="K29" i="3"/>
  <c r="K136" i="3"/>
  <c r="K120" i="3"/>
  <c r="K10" i="3"/>
  <c r="K116" i="3"/>
  <c r="K40" i="3"/>
  <c r="K8" i="3"/>
  <c r="K131" i="3"/>
  <c r="K115" i="3"/>
  <c r="K99" i="3"/>
  <c r="K83" i="3"/>
  <c r="K67" i="3"/>
  <c r="K24" i="3"/>
  <c r="K52" i="3"/>
  <c r="K44" i="3"/>
  <c r="K28" i="3"/>
  <c r="K112" i="3"/>
  <c r="K96" i="3"/>
  <c r="K36" i="3"/>
  <c r="K20" i="3"/>
  <c r="K4" i="3"/>
  <c r="K58" i="3"/>
  <c r="K126" i="3"/>
  <c r="K125" i="3"/>
  <c r="K109" i="3"/>
  <c r="K110" i="3"/>
  <c r="K140" i="3"/>
  <c r="K124" i="3"/>
  <c r="K108" i="3"/>
  <c r="K41" i="3"/>
  <c r="K25" i="3"/>
  <c r="K9" i="3"/>
  <c r="K62" i="3"/>
  <c r="K46" i="3"/>
  <c r="K30" i="3"/>
  <c r="K73" i="3"/>
  <c r="K100" i="3"/>
  <c r="K84" i="3"/>
  <c r="K61" i="3"/>
  <c r="K130" i="3"/>
  <c r="K114" i="3"/>
  <c r="K98" i="3"/>
  <c r="K82" i="3"/>
  <c r="K59" i="3"/>
  <c r="K70" i="3"/>
  <c r="K81" i="3"/>
  <c r="K34" i="3"/>
  <c r="K18" i="3"/>
  <c r="K2" i="3"/>
  <c r="K66" i="3"/>
  <c r="K69" i="3"/>
  <c r="K33" i="3"/>
  <c r="K17" i="3"/>
  <c r="K65" i="3"/>
  <c r="K68" i="3"/>
  <c r="K76" i="3"/>
  <c r="K139" i="3"/>
  <c r="K123" i="3"/>
  <c r="K107" i="3"/>
  <c r="K91" i="3"/>
  <c r="K75" i="3"/>
  <c r="K43" i="3"/>
  <c r="K27" i="3"/>
  <c r="K19" i="3"/>
  <c r="K15" i="3"/>
  <c r="K49" i="3"/>
  <c r="K106" i="3"/>
  <c r="K90" i="3"/>
  <c r="K74" i="3"/>
  <c r="K42" i="3"/>
  <c r="K26" i="3"/>
  <c r="K57" i="3"/>
  <c r="K14" i="3"/>
  <c r="K50" i="3"/>
  <c r="K137" i="3"/>
  <c r="K121" i="3"/>
  <c r="K105" i="3"/>
  <c r="K89" i="3"/>
  <c r="K13" i="3"/>
  <c r="K51" i="3"/>
  <c r="K104" i="3"/>
  <c r="K88" i="3"/>
  <c r="K3" i="3"/>
  <c r="K12" i="3"/>
  <c r="K35" i="3"/>
  <c r="K56" i="3"/>
  <c r="K11" i="3"/>
  <c r="J27" i="2"/>
  <c r="K27" i="2" s="1"/>
  <c r="F27" i="2"/>
  <c r="S26" i="2"/>
  <c r="O26" i="2"/>
  <c r="T26" i="2" s="1"/>
  <c r="J26" i="2"/>
  <c r="F26" i="2"/>
  <c r="E12" i="2"/>
  <c r="D12" i="2"/>
  <c r="H12" i="2"/>
  <c r="E39" i="2"/>
  <c r="E40" i="2"/>
  <c r="F9" i="2"/>
  <c r="G6" i="2"/>
  <c r="F6" i="2"/>
  <c r="G5" i="2"/>
  <c r="F5" i="2"/>
  <c r="K26" i="2" l="1"/>
  <c r="U26" i="2" s="1"/>
  <c r="AB26" i="2" s="1"/>
</calcChain>
</file>

<file path=xl/sharedStrings.xml><?xml version="1.0" encoding="utf-8"?>
<sst xmlns="http://schemas.openxmlformats.org/spreadsheetml/2006/main" count="910" uniqueCount="237">
  <si>
    <t>Пользователи</t>
  </si>
  <si>
    <t>Вася</t>
  </si>
  <si>
    <t>Петя</t>
  </si>
  <si>
    <t>Маша</t>
  </si>
  <si>
    <t>Глаша</t>
  </si>
  <si>
    <t>Женя</t>
  </si>
  <si>
    <t>Planner</t>
  </si>
  <si>
    <t>Кирилл</t>
  </si>
  <si>
    <t>Approver</t>
  </si>
  <si>
    <t>Admin</t>
  </si>
  <si>
    <t>Наташи</t>
  </si>
  <si>
    <t>Pro</t>
  </si>
  <si>
    <t>Логист</t>
  </si>
  <si>
    <t>Роль в М1</t>
  </si>
  <si>
    <t>Роли в М2</t>
  </si>
  <si>
    <t>Viewer</t>
  </si>
  <si>
    <t>Куплетист</t>
  </si>
  <si>
    <t>Планирошик-Финансист (Ф1+Ф2)</t>
  </si>
  <si>
    <t>Апррувер-Финансист (Ф1+Ф2)</t>
  </si>
  <si>
    <t>Вьювер-Финансист (Ф1+Ф2)</t>
  </si>
  <si>
    <t>Моделлер</t>
  </si>
  <si>
    <t>Тип пользователя</t>
  </si>
  <si>
    <t>Тип роли</t>
  </si>
  <si>
    <t>Объект</t>
  </si>
  <si>
    <t>Строка</t>
  </si>
  <si>
    <t>Read</t>
  </si>
  <si>
    <t>Inherit</t>
  </si>
  <si>
    <t>Write</t>
  </si>
  <si>
    <t>None</t>
  </si>
  <si>
    <t>Группа Строк</t>
  </si>
  <si>
    <t>Роль М1</t>
  </si>
  <si>
    <t>Тип</t>
  </si>
  <si>
    <t>Финансы Руководство</t>
  </si>
  <si>
    <t>Финансы Аналитики</t>
  </si>
  <si>
    <t>Производство Аналитики</t>
  </si>
  <si>
    <t>Производство Руководство</t>
  </si>
  <si>
    <t>Фин. Анал</t>
  </si>
  <si>
    <t>Фин рук</t>
  </si>
  <si>
    <t>Про Ана</t>
  </si>
  <si>
    <t>Про Рук</t>
  </si>
  <si>
    <t>Версия 1</t>
  </si>
  <si>
    <t>Версия 2</t>
  </si>
  <si>
    <t>Версия 3</t>
  </si>
  <si>
    <t>Версия 4</t>
  </si>
  <si>
    <t>Филиал 1</t>
  </si>
  <si>
    <t>Филиал 2</t>
  </si>
  <si>
    <t>Филиал 3</t>
  </si>
  <si>
    <t>Филиал 4</t>
  </si>
  <si>
    <t>Филиал 5</t>
  </si>
  <si>
    <t>Роль 1</t>
  </si>
  <si>
    <t>Роль 2</t>
  </si>
  <si>
    <t>Роль 3</t>
  </si>
  <si>
    <t>Справочник филиалов</t>
  </si>
  <si>
    <t>Все филиалы</t>
  </si>
  <si>
    <t>Филиал 6</t>
  </si>
  <si>
    <t>Филиал 7</t>
  </si>
  <si>
    <t>Модель</t>
  </si>
  <si>
    <t>Справочник 1</t>
  </si>
  <si>
    <t>Строка 1.1</t>
  </si>
  <si>
    <t>|--&gt; Read</t>
  </si>
  <si>
    <t>|--&gt; None</t>
  </si>
  <si>
    <t>Cascade</t>
  </si>
  <si>
    <t>2025 Q4</t>
  </si>
  <si>
    <t>2026 Q1</t>
  </si>
  <si>
    <t>2025 H2</t>
  </si>
  <si>
    <t>2026 H1</t>
  </si>
  <si>
    <t>2026 Q2</t>
  </si>
  <si>
    <t>2025 T</t>
  </si>
  <si>
    <t>2025 Q3</t>
  </si>
  <si>
    <t>Месяцы</t>
  </si>
  <si>
    <t>Кварталы</t>
  </si>
  <si>
    <t>2026 Q3</t>
  </si>
  <si>
    <t>2026 Q4</t>
  </si>
  <si>
    <t>2026 H2</t>
  </si>
  <si>
    <t>2026 T</t>
  </si>
  <si>
    <t>Недели</t>
  </si>
  <si>
    <t>2025-09</t>
  </si>
  <si>
    <t>2025-10</t>
  </si>
  <si>
    <t>2025-11</t>
  </si>
  <si>
    <t>2025-12</t>
  </si>
  <si>
    <r>
      <t xml:space="preserve">Тип: </t>
    </r>
    <r>
      <rPr>
        <b/>
        <sz val="8"/>
        <color theme="1"/>
        <rFont val="Cascadia Code"/>
        <family val="3"/>
      </rPr>
      <t>Months</t>
    </r>
  </si>
  <si>
    <r>
      <t xml:space="preserve">Тип: </t>
    </r>
    <r>
      <rPr>
        <b/>
        <sz val="8"/>
        <color theme="1"/>
        <rFont val="Cascadia Code"/>
        <family val="3"/>
      </rPr>
      <t>Weeks</t>
    </r>
  </si>
  <si>
    <r>
      <t xml:space="preserve">Тип: </t>
    </r>
    <r>
      <rPr>
        <b/>
        <sz val="8"/>
        <color theme="1"/>
        <rFont val="Cascadia Code"/>
        <family val="3"/>
      </rPr>
      <t>Periods</t>
    </r>
  </si>
  <si>
    <t>Периоды</t>
  </si>
  <si>
    <t>Тип: Months</t>
  </si>
  <si>
    <t>2026 TOY</t>
  </si>
  <si>
    <t>2025 TOY</t>
  </si>
  <si>
    <t>Мера 1</t>
  </si>
  <si>
    <t>Мера 2</t>
  </si>
  <si>
    <t>Type</t>
  </si>
  <si>
    <t>Months</t>
  </si>
  <si>
    <t>Years</t>
  </si>
  <si>
    <t>Days</t>
  </si>
  <si>
    <t>HY</t>
  </si>
  <si>
    <t>Q</t>
  </si>
  <si>
    <t>HalfYears</t>
  </si>
  <si>
    <t>Quarters</t>
  </si>
  <si>
    <t>Default Conf</t>
  </si>
  <si>
    <t>Max Config</t>
  </si>
  <si>
    <t>2027 Q1</t>
  </si>
  <si>
    <t>2027 Q3</t>
  </si>
  <si>
    <t>2027 Q4</t>
  </si>
  <si>
    <t>2028 Q1</t>
  </si>
  <si>
    <t>2027 Q2</t>
  </si>
  <si>
    <t>2028 Q4</t>
  </si>
  <si>
    <t>2025 H1</t>
  </si>
  <si>
    <t>Weeks</t>
  </si>
  <si>
    <t>Periods</t>
  </si>
  <si>
    <t>Specia</t>
  </si>
  <si>
    <t>Yearstoda</t>
  </si>
  <si>
    <t>9months</t>
  </si>
  <si>
    <t>M1</t>
  </si>
  <si>
    <t>M2</t>
  </si>
  <si>
    <t>M3</t>
  </si>
  <si>
    <t>Q1 Total</t>
  </si>
  <si>
    <t>Y total</t>
  </si>
  <si>
    <t>M4</t>
  </si>
  <si>
    <t>M5</t>
  </si>
  <si>
    <t>M6</t>
  </si>
  <si>
    <t>M7</t>
  </si>
  <si>
    <t>M8</t>
  </si>
  <si>
    <t>M9</t>
  </si>
  <si>
    <t>M10</t>
  </si>
  <si>
    <t>M11</t>
  </si>
  <si>
    <t>Q2 Total</t>
  </si>
  <si>
    <t>H1 T</t>
  </si>
  <si>
    <t>Q3 Total</t>
  </si>
  <si>
    <t>M12</t>
  </si>
  <si>
    <t>H2 Total</t>
  </si>
  <si>
    <t>Grand Total</t>
  </si>
  <si>
    <t>Группа 1</t>
  </si>
  <si>
    <t>Группа 2</t>
  </si>
  <si>
    <t>Date</t>
  </si>
  <si>
    <t>Product</t>
  </si>
  <si>
    <t>Group</t>
  </si>
  <si>
    <t>Column2</t>
  </si>
  <si>
    <t>Яблоки</t>
  </si>
  <si>
    <t>Груши</t>
  </si>
  <si>
    <t>Quarter</t>
  </si>
  <si>
    <t>Half Year</t>
  </si>
  <si>
    <t>Year</t>
  </si>
  <si>
    <t>Column Labels</t>
  </si>
  <si>
    <t>Row Labels</t>
  </si>
  <si>
    <t>Груши Total</t>
  </si>
  <si>
    <t>Яблоки Total</t>
  </si>
  <si>
    <t>2025 Total</t>
  </si>
  <si>
    <t>2026 Total</t>
  </si>
  <si>
    <t>Продано</t>
  </si>
  <si>
    <t>Средняя цена</t>
  </si>
  <si>
    <t>Червивость</t>
  </si>
  <si>
    <t>Month</t>
  </si>
  <si>
    <t>Day</t>
  </si>
  <si>
    <t>2027</t>
  </si>
  <si>
    <t>2027 H1</t>
  </si>
  <si>
    <t>2027 H2</t>
  </si>
  <si>
    <t>Выручка</t>
  </si>
  <si>
    <t>Sum of Выручка</t>
  </si>
  <si>
    <t>Сорт яблок 1</t>
  </si>
  <si>
    <t>Сорт яблок 2</t>
  </si>
  <si>
    <t>Сорт яблок 3</t>
  </si>
  <si>
    <t>Вид груши 1</t>
  </si>
  <si>
    <t>Вид груши 2</t>
  </si>
  <si>
    <t>Пользователи BI</t>
  </si>
  <si>
    <t>Вася 1</t>
  </si>
  <si>
    <t>Вася 2</t>
  </si>
  <si>
    <t>Вася 3</t>
  </si>
  <si>
    <t>Вася 4</t>
  </si>
  <si>
    <t>Вася 5</t>
  </si>
  <si>
    <t>Вася 6</t>
  </si>
  <si>
    <t>Вася 7</t>
  </si>
  <si>
    <t>Вася 8</t>
  </si>
  <si>
    <t>Вася 9</t>
  </si>
  <si>
    <t>Вася 10</t>
  </si>
  <si>
    <t>Вася 11</t>
  </si>
  <si>
    <t>Вася 12</t>
  </si>
  <si>
    <t>Вася 13</t>
  </si>
  <si>
    <t>Вася 14</t>
  </si>
  <si>
    <t>Вася 15</t>
  </si>
  <si>
    <t>Вася 16</t>
  </si>
  <si>
    <t>Вася 17</t>
  </si>
  <si>
    <t>Вася 18</t>
  </si>
  <si>
    <t>Вася 19</t>
  </si>
  <si>
    <t>Вася 20</t>
  </si>
  <si>
    <t>Вася 21</t>
  </si>
  <si>
    <t>Вася 22</t>
  </si>
  <si>
    <t>Вася 23</t>
  </si>
  <si>
    <t>Вася 24</t>
  </si>
  <si>
    <t>Вася 25</t>
  </si>
  <si>
    <t>Вася 26</t>
  </si>
  <si>
    <t>Вася 27</t>
  </si>
  <si>
    <t>Вася 28</t>
  </si>
  <si>
    <t>Вася 29</t>
  </si>
  <si>
    <t>Вася 30</t>
  </si>
  <si>
    <t>Вася 31</t>
  </si>
  <si>
    <t>Вася 32</t>
  </si>
  <si>
    <t>Вася 33</t>
  </si>
  <si>
    <t>Вася 34</t>
  </si>
  <si>
    <t>Вася 35</t>
  </si>
  <si>
    <t>Вася 36</t>
  </si>
  <si>
    <t>Вася 37</t>
  </si>
  <si>
    <t>Вася 38</t>
  </si>
  <si>
    <t>Вася 39</t>
  </si>
  <si>
    <t>Вася 40</t>
  </si>
  <si>
    <t>Вася 41</t>
  </si>
  <si>
    <t>Вася 42</t>
  </si>
  <si>
    <t>Вася 43</t>
  </si>
  <si>
    <t>Вася 44</t>
  </si>
  <si>
    <t>Вася 45</t>
  </si>
  <si>
    <t>Вася 46</t>
  </si>
  <si>
    <t>Вася 47</t>
  </si>
  <si>
    <t>Вася 48</t>
  </si>
  <si>
    <t>Вася 49</t>
  </si>
  <si>
    <t>Вася 50</t>
  </si>
  <si>
    <t>Пользователь СPM</t>
  </si>
  <si>
    <t>Лицензия BI</t>
  </si>
  <si>
    <t>Лицензия CPM*</t>
  </si>
  <si>
    <t>1 Pro + 4 Base</t>
  </si>
  <si>
    <t>CPM Pro</t>
  </si>
  <si>
    <t>CPM Base</t>
  </si>
  <si>
    <t>BI Pro</t>
  </si>
  <si>
    <t>Создал билдер модель</t>
  </si>
  <si>
    <t>Builder</t>
  </si>
  <si>
    <t>Full на всё</t>
  </si>
  <si>
    <t>Write | Inherit</t>
  </si>
  <si>
    <t>На каждый объект проставил роли права</t>
  </si>
  <si>
    <t>????</t>
  </si>
  <si>
    <t>Создать группы пользтелей</t>
  </si>
  <si>
    <t>Ассоциировать группы с ролями</t>
  </si>
  <si>
    <t>Настраивает RLS в справочниках</t>
  </si>
  <si>
    <t>Создал новую роль ×10</t>
  </si>
  <si>
    <t>Добавил куб данных ×100</t>
  </si>
  <si>
    <t>Добавил справочник ×10</t>
  </si>
  <si>
    <t>Actual</t>
  </si>
  <si>
    <t>Forecast</t>
  </si>
  <si>
    <t>2028</t>
  </si>
  <si>
    <t>2028 H1</t>
  </si>
  <si>
    <t>Версия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</si>
</sst>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;@"/>
    <numFmt numFmtId="165" formatCode="#,##0.00\ &quot;₽&quot;"/>
  </numFmts>
  <fonts count="6" x14ac:knownFonts="1">
    <font>
      <sz val="8"/>
      <color theme="1"/>
      <name val="Cascadia Code"/>
      <family val="2"/>
      <charset val="204"/>
    </font>
    <font>
      <b/>
      <sz val="8"/>
      <color theme="1"/>
      <name val="Cascadia Code"/>
      <family val="3"/>
    </font>
    <font>
      <sz val="8"/>
      <color theme="1"/>
      <name val="Cascadia Code"/>
      <family val="3"/>
    </font>
    <font>
      <sz val="8"/>
      <name val="Cascadia Code"/>
      <family val="2"/>
      <charset val="204"/>
    </font>
    <font>
      <i/>
      <sz val="8"/>
      <color theme="1"/>
      <name val="Cascadia Code"/>
      <family val="3"/>
    </font>
    <font>
      <sz val="9"/>
      <color theme="1"/>
      <name val="Cascadia Code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1" fillId="3" borderId="0" xfId="0" applyFont="1" applyFill="1"/>
    <xf numFmtId="0" fontId="4" fillId="0" borderId="0" xfId="0" applyFont="1"/>
    <xf numFmtId="0" fontId="1" fillId="4" borderId="0" xfId="0" applyFont="1" applyFill="1"/>
    <xf numFmtId="0" fontId="4" fillId="5" borderId="0" xfId="0" applyFont="1" applyFill="1"/>
    <xf numFmtId="0" fontId="0" fillId="5" borderId="0" xfId="0" applyFill="1"/>
    <xf numFmtId="0" fontId="0" fillId="6" borderId="0" xfId="0" applyFill="1"/>
    <xf numFmtId="16" fontId="0" fillId="0" borderId="0" xfId="0" applyNumberFormat="1"/>
    <xf numFmtId="16" fontId="0" fillId="2" borderId="0" xfId="0" applyNumberFormat="1" applyFill="1"/>
    <xf numFmtId="16" fontId="0" fillId="6" borderId="0" xfId="0" applyNumberFormat="1" applyFill="1"/>
    <xf numFmtId="0" fontId="0" fillId="7" borderId="0" xfId="0" applyFill="1"/>
    <xf numFmtId="0" fontId="0" fillId="8" borderId="0" xfId="0" applyFill="1"/>
    <xf numFmtId="0" fontId="1" fillId="6" borderId="0" xfId="0" applyFont="1" applyFill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5" fillId="0" borderId="0" xfId="0" applyFont="1" applyAlignment="1"/>
    <xf numFmtId="164" fontId="5" fillId="0" borderId="0" xfId="0" applyNumberFormat="1" applyFont="1" applyAlignment="1"/>
    <xf numFmtId="3" fontId="5" fillId="0" borderId="0" xfId="0" applyNumberFormat="1" applyFont="1" applyAlignment="1"/>
    <xf numFmtId="0" fontId="5" fillId="0" borderId="0" xfId="0" pivotButton="1" applyFont="1" applyAlignment="1"/>
    <xf numFmtId="0" fontId="5" fillId="0" borderId="0" xfId="0" applyFont="1" applyAlignment="1">
      <alignment vertical="center"/>
    </xf>
    <xf numFmtId="10" fontId="5" fillId="0" borderId="0" xfId="0" applyNumberFormat="1" applyFont="1" applyAlignment="1"/>
    <xf numFmtId="165" fontId="5" fillId="0" borderId="0" xfId="0" applyNumberFormat="1" applyFont="1" applyAlignment="1"/>
    <xf numFmtId="0" fontId="0" fillId="0" borderId="0" xfId="0" applyAlignment="1"/>
    <xf numFmtId="49" fontId="5" fillId="0" borderId="0" xfId="0" applyNumberFormat="1" applyFont="1" applyAlignment="1"/>
    <xf numFmtId="0" fontId="0" fillId="11" borderId="0" xfId="0" applyFill="1"/>
    <xf numFmtId="0" fontId="0" fillId="0" borderId="0" xfId="0" applyFill="1"/>
    <xf numFmtId="49" fontId="5" fillId="12" borderId="0" xfId="0" applyNumberFormat="1" applyFont="1" applyFill="1" applyAlignment="1"/>
    <xf numFmtId="14" fontId="5" fillId="0" borderId="0" xfId="0" applyNumberFormat="1" applyFont="1" applyAlignment="1"/>
    <xf numFmtId="16" fontId="0" fillId="13" borderId="0" xfId="0" applyNumberFormat="1" applyFill="1"/>
    <xf numFmtId="0" fontId="0" fillId="13" borderId="0" xfId="0" applyFill="1"/>
    <xf numFmtId="0" fontId="5" fillId="0" borderId="0" xfId="0" applyFont="1" applyFill="1" applyAlignment="1"/>
    <xf numFmtId="165" fontId="5" fillId="0" borderId="0" xfId="0" applyNumberFormat="1" applyFont="1" applyFill="1" applyAlignment="1"/>
    <xf numFmtId="0" fontId="5" fillId="14" borderId="0" xfId="0" applyFont="1" applyFill="1" applyAlignment="1">
      <alignment vertical="center"/>
    </xf>
    <xf numFmtId="3" fontId="5" fillId="13" borderId="0" xfId="0" applyNumberFormat="1" applyFont="1" applyFill="1" applyAlignment="1">
      <alignment horizontal="right" vertical="center"/>
    </xf>
    <xf numFmtId="165" fontId="5" fillId="13" borderId="0" xfId="0" applyNumberFormat="1" applyFont="1" applyFill="1" applyAlignment="1">
      <alignment horizontal="right" vertical="center"/>
    </xf>
    <xf numFmtId="10" fontId="5" fillId="13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0" fontId="5" fillId="15" borderId="0" xfId="0" applyFont="1" applyFill="1" applyAlignment="1">
      <alignment vertical="center"/>
    </xf>
    <xf numFmtId="164" fontId="5" fillId="15" borderId="0" xfId="0" applyNumberFormat="1" applyFont="1" applyFill="1" applyAlignment="1">
      <alignment vertical="center"/>
    </xf>
    <xf numFmtId="49" fontId="5" fillId="15" borderId="0" xfId="0" applyNumberFormat="1" applyFont="1" applyFill="1" applyAlignment="1">
      <alignment vertical="center"/>
    </xf>
  </cellXfs>
  <cellStyles count="1">
    <cellStyle name="Normal" xfId="0" builtinId="0"/>
  </cellStyles>
  <dxfs count="20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fill>
        <patternFill patternType="solid">
          <fgColor indexed="64"/>
          <bgColor theme="8"/>
        </patternFill>
      </fill>
      <alignment horizontal="general" vertical="center" textRotation="0" wrapText="0" indent="0" justifyLastLine="0" shrinkToFi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3" tint="0.89999084444715716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3" tint="0.89999084444715716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164" formatCode="yyyy\-mm;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165" formatCode="#,##0.00\ &quot;₽&quot;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164" formatCode="yyyy\-mm;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165" formatCode="#,##0.00\ &quot;₽&quot;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scadia Code"/>
        <family val="2"/>
        <charset val="204"/>
        <scheme val="none"/>
      </font>
      <alignment horizontal="general" vertical="bottom" textRotation="0" wrapText="0" indent="0" justifyLastLine="0" shrinkToFit="0" readingOrder="0"/>
    </dxf>
    <dxf>
      <border diagonalUp="0" diagonalDown="0">
        <left/>
        <right/>
        <top/>
        <bottom/>
        <vertical/>
        <horizontal/>
      </border>
    </dxf>
    <dxf>
      <fill>
        <patternFill patternType="solid">
          <fgColor theme="0" tint="-0.14996795556505021"/>
          <bgColor rgb="FFF5F5F5"/>
        </patternFill>
      </fill>
    </dxf>
    <dxf>
      <font>
        <b/>
        <color theme="1"/>
      </font>
      <border>
        <top style="double">
          <color theme="1"/>
        </top>
      </border>
    </dxf>
    <dxf>
      <font>
        <color theme="0" tint="-4.9989318521683403E-2"/>
      </font>
      <fill>
        <patternFill>
          <bgColor theme="1" tint="0.34998626667073579"/>
        </patternFill>
      </fill>
      <border>
        <bottom style="thin">
          <color theme="1"/>
        </bottom>
      </border>
    </dxf>
  </dxfs>
  <tableStyles count="1" defaultTableStyle="TableStyleMedium2" defaultPivotStyle="PivotStyleLight16">
    <tableStyle name="TableStyleLight1 2" pivot="0" count="4" xr9:uid="{A65C11A2-F7BA-40E2-A2ED-A36311B47500}">
      <tableStyleElement type="wholeTable" dxfId="2061"/>
      <tableStyleElement type="headerRow" dxfId="2064"/>
      <tableStyleElement type="totalRow" dxfId="2063"/>
      <tableStyleElement type="firstRowStripe" dxfId="2062"/>
    </tableStyle>
  </tableStyles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don Marcus" refreshedDate="45924.726676157406" createdVersion="8" refreshedVersion="8" minRefreshableVersion="3" recordCount="145" xr:uid="{A0AB98D9-8640-4D9E-B15A-4C9F8846FF02}">
  <cacheSource type="worksheet">
    <worksheetSource name="cubProducts"/>
  </cacheSource>
  <cacheFields count="16">
    <cacheField name="Year" numFmtId="49">
      <sharedItems containsMixedTypes="1" containsNumber="1" containsInteger="1" minValue="2025" maxValue="2026" count="4">
        <n v="2025"/>
        <n v="2026"/>
        <s v="2027"/>
        <s v="2028"/>
      </sharedItems>
    </cacheField>
    <cacheField name="Half Year" numFmtId="49">
      <sharedItems/>
    </cacheField>
    <cacheField name="Quarter" numFmtId="49">
      <sharedItems/>
    </cacheField>
    <cacheField name="Month" numFmtId="164">
      <sharedItems containsSemiMixedTypes="0" containsNonDate="0" containsDate="1" containsString="0" minDate="2025-09-01T00:00:00" maxDate="2028-01-02T00:00:00" count="27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10-01T00:00:00"/>
        <d v="2027-11-01T00:00:00"/>
        <d v="2027-12-01T00:00:00"/>
        <d v="2028-01-01T00:00:00"/>
      </sharedItems>
      <fieldGroup par="15"/>
    </cacheField>
    <cacheField name="Date" numFmtId="0">
      <sharedItems containsNonDate="0" containsString="0" containsBlank="1"/>
    </cacheField>
    <cacheField name="Group" numFmtId="0">
      <sharedItems count="2">
        <s v="Яблоки"/>
        <s v="Груши"/>
      </sharedItems>
    </cacheField>
    <cacheField name="Product" numFmtId="0">
      <sharedItems count="10">
        <s v="Сорт яблок 1"/>
        <s v="Сорт яблок 2"/>
        <s v="Сорт яблок 3"/>
        <s v="Вид груши 1"/>
        <s v="Вид груши 2"/>
        <s v="Сорт 1" u="1"/>
        <s v="Сорт 2" u="1"/>
        <s v="Сорт 3" u="1"/>
        <s v="Вид 1" u="1"/>
        <s v="Вид 2" u="1"/>
      </sharedItems>
    </cacheField>
    <cacheField name="Продано" numFmtId="3">
      <sharedItems containsSemiMixedTypes="0" containsString="0" containsNumber="1" containsInteger="1" minValue="1" maxValue="199"/>
    </cacheField>
    <cacheField name="Средняя цена" numFmtId="165">
      <sharedItems containsSemiMixedTypes="0" containsString="0" containsNumber="1" minValue="12.01" maxValue="509"/>
    </cacheField>
    <cacheField name="Червивость" numFmtId="10">
      <sharedItems containsSemiMixedTypes="0" containsString="0" containsNumber="1" minValue="6.2512289325966641E-4" maxValue="0.9833447541598227"/>
    </cacheField>
    <cacheField name="Выручка" numFmtId="165">
      <sharedItems containsSemiMixedTypes="0" containsString="0" containsNumber="1" minValue="19.291105046843761" maxValue="82151.502987036962"/>
    </cacheField>
    <cacheField name="Версия" numFmtId="0">
      <sharedItems count="2">
        <s v="Actual"/>
        <s v="Forecast"/>
      </sharedItems>
    </cacheField>
    <cacheField name="Column2" numFmtId="0">
      <sharedItems containsNonDate="0" containsString="0" containsBlank="1"/>
    </cacheField>
    <cacheField name="Months (Month)" numFmtId="0" databaseField="0">
      <fieldGroup base="3">
        <rangePr groupBy="months" startDate="2025-09-01T00:00:00" endDate="2028-01-02T00:00:00"/>
        <groupItems count="14">
          <s v="&lt;01.09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1.2028"/>
        </groupItems>
      </fieldGroup>
    </cacheField>
    <cacheField name="Quarters (Month)" numFmtId="0" databaseField="0">
      <fieldGroup base="3">
        <rangePr groupBy="quarters" startDate="2025-09-01T00:00:00" endDate="2028-01-02T00:00:00"/>
        <groupItems count="6">
          <s v="&lt;01.09.2025"/>
          <s v="Qtr1"/>
          <s v="Qtr2"/>
          <s v="Qtr3"/>
          <s v="Qtr4"/>
          <s v="&gt;02.01.2028"/>
        </groupItems>
      </fieldGroup>
    </cacheField>
    <cacheField name="Years (Month)" numFmtId="0" databaseField="0">
      <fieldGroup base="3">
        <rangePr groupBy="years" startDate="2025-09-01T00:00:00" endDate="2028-01-02T00:00:00"/>
        <groupItems count="6">
          <s v="&lt;01.09.2025"/>
          <s v="2025"/>
          <s v="2026"/>
          <s v="2027"/>
          <s v="2028"/>
          <s v="&gt;02.01.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s v="2025 H2"/>
    <s v="2025 Q3"/>
    <x v="0"/>
    <m/>
    <x v="0"/>
    <x v="0"/>
    <n v="151"/>
    <n v="263.31"/>
    <n v="0.1177280913064267"/>
    <n v="35078.963457993821"/>
    <x v="0"/>
    <m/>
  </r>
  <r>
    <x v="0"/>
    <s v="2025 H2"/>
    <s v="2025 Q3"/>
    <x v="0"/>
    <m/>
    <x v="0"/>
    <x v="1"/>
    <n v="15"/>
    <n v="419.62"/>
    <n v="0.79828381340192045"/>
    <n v="1269.6621933042923"/>
    <x v="0"/>
    <m/>
  </r>
  <r>
    <x v="0"/>
    <s v="2025 H2"/>
    <s v="2025 Q3"/>
    <x v="0"/>
    <m/>
    <x v="0"/>
    <x v="2"/>
    <n v="14"/>
    <n v="128.63999999999999"/>
    <n v="0.31900108931385496"/>
    <n v="1226.4517981893196"/>
    <x v="0"/>
    <m/>
  </r>
  <r>
    <x v="0"/>
    <s v="2025 H2"/>
    <s v="2025 Q3"/>
    <x v="0"/>
    <m/>
    <x v="1"/>
    <x v="3"/>
    <n v="6"/>
    <n v="185.57"/>
    <n v="0.55535064859397421"/>
    <n v="495.08148084249729"/>
    <x v="0"/>
    <m/>
  </r>
  <r>
    <x v="0"/>
    <s v="2025 H2"/>
    <s v="2025 Q3"/>
    <x v="0"/>
    <m/>
    <x v="1"/>
    <x v="4"/>
    <n v="169"/>
    <n v="12.23"/>
    <n v="0.35972601191208575"/>
    <n v="1323.3630977592672"/>
    <x v="0"/>
    <m/>
  </r>
  <r>
    <x v="0"/>
    <s v="2025 H2"/>
    <s v="2025 Q4"/>
    <x v="1"/>
    <m/>
    <x v="0"/>
    <x v="0"/>
    <n v="185"/>
    <n v="47.629999999999995"/>
    <n v="0.4968779553928937"/>
    <n v="4433.2850521577475"/>
    <x v="0"/>
    <m/>
  </r>
  <r>
    <x v="0"/>
    <s v="2025 H2"/>
    <s v="2025 Q4"/>
    <x v="1"/>
    <m/>
    <x v="0"/>
    <x v="1"/>
    <n v="72"/>
    <n v="307.69"/>
    <n v="0.32812295930864166"/>
    <n v="14884.548958823332"/>
    <x v="0"/>
    <m/>
  </r>
  <r>
    <x v="0"/>
    <s v="2025 H2"/>
    <s v="2025 Q4"/>
    <x v="1"/>
    <m/>
    <x v="0"/>
    <x v="2"/>
    <n v="172"/>
    <n v="441.19"/>
    <n v="0.23478539701613377"/>
    <n v="58068.065278757727"/>
    <x v="0"/>
    <m/>
  </r>
  <r>
    <x v="0"/>
    <s v="2025 H2"/>
    <s v="2025 Q4"/>
    <x v="1"/>
    <m/>
    <x v="1"/>
    <x v="3"/>
    <n v="173"/>
    <n v="100.98"/>
    <n v="0.9605444573299794"/>
    <n v="689.27018089563182"/>
    <x v="0"/>
    <m/>
  </r>
  <r>
    <x v="0"/>
    <s v="2025 H2"/>
    <s v="2025 Q4"/>
    <x v="1"/>
    <m/>
    <x v="1"/>
    <x v="4"/>
    <n v="109"/>
    <n v="488.53999999999996"/>
    <n v="0.59126501638583329"/>
    <n v="21765.489389540282"/>
    <x v="0"/>
    <m/>
  </r>
  <r>
    <x v="0"/>
    <s v="2025 H2"/>
    <s v="2025 Q4"/>
    <x v="2"/>
    <m/>
    <x v="0"/>
    <x v="0"/>
    <n v="199"/>
    <n v="328.03"/>
    <n v="6.2556386110551365E-2"/>
    <n v="61194.416104167009"/>
    <x v="0"/>
    <m/>
  </r>
  <r>
    <x v="0"/>
    <s v="2025 H2"/>
    <s v="2025 Q4"/>
    <x v="2"/>
    <m/>
    <x v="0"/>
    <x v="1"/>
    <n v="27"/>
    <n v="319.69"/>
    <n v="6.7082663216278871E-2"/>
    <n v="8052.5972717024697"/>
    <x v="0"/>
    <m/>
  </r>
  <r>
    <x v="0"/>
    <s v="2025 H2"/>
    <s v="2025 Q4"/>
    <x v="2"/>
    <m/>
    <x v="0"/>
    <x v="2"/>
    <n v="80"/>
    <n v="123.09"/>
    <n v="0.8515043257108913"/>
    <n v="1462.2666038597113"/>
    <x v="0"/>
    <m/>
  </r>
  <r>
    <x v="0"/>
    <s v="2025 H2"/>
    <s v="2025 Q4"/>
    <x v="2"/>
    <m/>
    <x v="1"/>
    <x v="3"/>
    <n v="134"/>
    <n v="473.96999999999997"/>
    <n v="0.96173617652540488"/>
    <n v="2430.2111912420155"/>
    <x v="0"/>
    <m/>
  </r>
  <r>
    <x v="0"/>
    <s v="2025 H2"/>
    <s v="2025 Q4"/>
    <x v="2"/>
    <m/>
    <x v="1"/>
    <x v="4"/>
    <n v="126"/>
    <n v="357.57"/>
    <n v="0.19089505843205312"/>
    <n v="36453.268398512795"/>
    <x v="0"/>
    <m/>
  </r>
  <r>
    <x v="0"/>
    <s v="2025 H2"/>
    <s v="2025 Q4"/>
    <x v="3"/>
    <m/>
    <x v="0"/>
    <x v="0"/>
    <n v="181"/>
    <n v="403.03999999999996"/>
    <n v="0.93039814160998391"/>
    <n v="5077.4722739976869"/>
    <x v="0"/>
    <m/>
  </r>
  <r>
    <x v="0"/>
    <s v="2025 H2"/>
    <s v="2025 Q4"/>
    <x v="3"/>
    <m/>
    <x v="0"/>
    <x v="1"/>
    <n v="51"/>
    <n v="295.95"/>
    <n v="0.18771089043753897"/>
    <n v="12260.245060725527"/>
    <x v="0"/>
    <m/>
  </r>
  <r>
    <x v="0"/>
    <s v="2025 H2"/>
    <s v="2025 Q4"/>
    <x v="3"/>
    <m/>
    <x v="0"/>
    <x v="2"/>
    <n v="174"/>
    <n v="296.71999999999997"/>
    <n v="0.44063010096700206"/>
    <n v="28879.865140746377"/>
    <x v="0"/>
    <m/>
  </r>
  <r>
    <x v="0"/>
    <s v="2025 H2"/>
    <s v="2025 Q4"/>
    <x v="3"/>
    <m/>
    <x v="1"/>
    <x v="3"/>
    <n v="161"/>
    <n v="382.45"/>
    <n v="0.39476197637462584"/>
    <n v="37267.19842381942"/>
    <x v="0"/>
    <m/>
  </r>
  <r>
    <x v="0"/>
    <s v="2025 H2"/>
    <s v="2025 Q4"/>
    <x v="3"/>
    <m/>
    <x v="1"/>
    <x v="4"/>
    <n v="123"/>
    <n v="103.79"/>
    <n v="0.18738494270485095"/>
    <n v="10373.981965989613"/>
    <x v="0"/>
    <m/>
  </r>
  <r>
    <x v="1"/>
    <s v="2026 H1"/>
    <s v="2026 Q1"/>
    <x v="4"/>
    <m/>
    <x v="0"/>
    <x v="0"/>
    <n v="23"/>
    <n v="84.570000000000007"/>
    <n v="0.25658989949981581"/>
    <n v="1446.0144205839133"/>
    <x v="0"/>
    <m/>
  </r>
  <r>
    <x v="1"/>
    <s v="2026 H1"/>
    <s v="2026 Q1"/>
    <x v="4"/>
    <m/>
    <x v="0"/>
    <x v="1"/>
    <n v="32"/>
    <n v="183.23999999999998"/>
    <n v="0.31048704088846235"/>
    <n v="4043.0833480831407"/>
    <x v="0"/>
    <m/>
  </r>
  <r>
    <x v="1"/>
    <s v="2026 H1"/>
    <s v="2026 Q1"/>
    <x v="4"/>
    <m/>
    <x v="0"/>
    <x v="2"/>
    <n v="113"/>
    <n v="215.60999999999999"/>
    <n v="0.60762511669915842"/>
    <n v="9559.7941904998715"/>
    <x v="0"/>
    <m/>
  </r>
  <r>
    <x v="1"/>
    <s v="2026 H1"/>
    <s v="2026 Q1"/>
    <x v="4"/>
    <m/>
    <x v="1"/>
    <x v="3"/>
    <n v="51"/>
    <n v="398.13"/>
    <n v="0.24760636067834829"/>
    <n v="15277.07446077959"/>
    <x v="0"/>
    <m/>
  </r>
  <r>
    <x v="1"/>
    <s v="2026 H1"/>
    <s v="2026 Q1"/>
    <x v="4"/>
    <m/>
    <x v="1"/>
    <x v="4"/>
    <n v="138"/>
    <n v="455.24"/>
    <n v="4.4822275576253734E-2"/>
    <n v="60007.244802799942"/>
    <x v="0"/>
    <m/>
  </r>
  <r>
    <x v="1"/>
    <s v="2026 H1"/>
    <s v="2026 Q1"/>
    <x v="5"/>
    <m/>
    <x v="0"/>
    <x v="0"/>
    <n v="120"/>
    <n v="314.71999999999997"/>
    <n v="0.56150234370210306"/>
    <n v="16560.477886808894"/>
    <x v="1"/>
    <m/>
  </r>
  <r>
    <x v="1"/>
    <s v="2026 H1"/>
    <s v="2026 Q1"/>
    <x v="5"/>
    <m/>
    <x v="0"/>
    <x v="1"/>
    <n v="138"/>
    <n v="252.66"/>
    <n v="0.68675497809242236"/>
    <n v="10921.939238453262"/>
    <x v="1"/>
    <m/>
  </r>
  <r>
    <x v="1"/>
    <s v="2026 H1"/>
    <s v="2026 Q1"/>
    <x v="5"/>
    <m/>
    <x v="0"/>
    <x v="2"/>
    <n v="198"/>
    <n v="490.36"/>
    <n v="0.15387351997999243"/>
    <n v="82151.502987036962"/>
    <x v="1"/>
    <m/>
  </r>
  <r>
    <x v="1"/>
    <s v="2026 H1"/>
    <s v="2026 Q1"/>
    <x v="5"/>
    <m/>
    <x v="1"/>
    <x v="3"/>
    <n v="20"/>
    <n v="32.059999999999995"/>
    <n v="0.95298113506103233"/>
    <n v="30.14849619886607"/>
    <x v="1"/>
    <m/>
  </r>
  <r>
    <x v="1"/>
    <s v="2026 H1"/>
    <s v="2026 Q1"/>
    <x v="5"/>
    <m/>
    <x v="1"/>
    <x v="4"/>
    <n v="39"/>
    <n v="122.23"/>
    <n v="0.94528852197554014"/>
    <n v="260.80797439825943"/>
    <x v="1"/>
    <m/>
  </r>
  <r>
    <x v="1"/>
    <s v="2026 H1"/>
    <s v="2026 Q1"/>
    <x v="6"/>
    <m/>
    <x v="0"/>
    <x v="0"/>
    <n v="111"/>
    <n v="450.01"/>
    <n v="0.20159848232383981"/>
    <n v="39881.042033608821"/>
    <x v="1"/>
    <m/>
  </r>
  <r>
    <x v="1"/>
    <s v="2026 H1"/>
    <s v="2026 Q1"/>
    <x v="6"/>
    <m/>
    <x v="0"/>
    <x v="1"/>
    <n v="25"/>
    <n v="28.34"/>
    <n v="0.47550581402309156"/>
    <n v="371.60413076463965"/>
    <x v="1"/>
    <m/>
  </r>
  <r>
    <x v="1"/>
    <s v="2026 H1"/>
    <s v="2026 Q1"/>
    <x v="6"/>
    <m/>
    <x v="0"/>
    <x v="2"/>
    <n v="166"/>
    <n v="324.02999999999997"/>
    <n v="0.28309000348580859"/>
    <n v="38561.857464301909"/>
    <x v="1"/>
    <m/>
  </r>
  <r>
    <x v="1"/>
    <s v="2026 H1"/>
    <s v="2026 Q1"/>
    <x v="6"/>
    <m/>
    <x v="1"/>
    <x v="3"/>
    <n v="103"/>
    <n v="177.06"/>
    <n v="0.16818100229746635"/>
    <n v="15170.032788520693"/>
    <x v="1"/>
    <m/>
  </r>
  <r>
    <x v="1"/>
    <s v="2026 H1"/>
    <s v="2026 Q1"/>
    <x v="6"/>
    <m/>
    <x v="1"/>
    <x v="4"/>
    <n v="185"/>
    <n v="394.28"/>
    <n v="3.5266451522540487E-2"/>
    <n v="70369.401546333145"/>
    <x v="1"/>
    <m/>
  </r>
  <r>
    <x v="1"/>
    <s v="2026 H1"/>
    <s v="2026 Q2"/>
    <x v="7"/>
    <m/>
    <x v="0"/>
    <x v="0"/>
    <n v="49"/>
    <n v="23.51"/>
    <n v="0.36408062114070006"/>
    <n v="732.5727652521249"/>
    <x v="1"/>
    <m/>
  </r>
  <r>
    <x v="1"/>
    <s v="2026 H1"/>
    <s v="2026 Q2"/>
    <x v="7"/>
    <m/>
    <x v="0"/>
    <x v="1"/>
    <n v="86"/>
    <n v="310.73"/>
    <n v="0.88925206149743907"/>
    <n v="2959.4927960574655"/>
    <x v="1"/>
    <m/>
  </r>
  <r>
    <x v="1"/>
    <s v="2026 H1"/>
    <s v="2026 Q2"/>
    <x v="7"/>
    <m/>
    <x v="0"/>
    <x v="2"/>
    <n v="45"/>
    <n v="331.36"/>
    <n v="4.3043867338314667E-2"/>
    <n v="14269.364285344924"/>
    <x v="1"/>
    <m/>
  </r>
  <r>
    <x v="1"/>
    <s v="2026 H1"/>
    <s v="2026 Q2"/>
    <x v="7"/>
    <m/>
    <x v="1"/>
    <x v="3"/>
    <n v="86"/>
    <n v="313.03999999999996"/>
    <n v="0.33155592610335027"/>
    <n v="17995.477028764217"/>
    <x v="1"/>
    <m/>
  </r>
  <r>
    <x v="1"/>
    <s v="2026 H1"/>
    <s v="2026 Q2"/>
    <x v="7"/>
    <m/>
    <x v="1"/>
    <x v="4"/>
    <n v="77"/>
    <n v="249.5"/>
    <n v="0.80058970123120277"/>
    <n v="3830.9709547967482"/>
    <x v="1"/>
    <m/>
  </r>
  <r>
    <x v="1"/>
    <s v="2026 H1"/>
    <s v="2026 Q2"/>
    <x v="8"/>
    <m/>
    <x v="0"/>
    <x v="0"/>
    <n v="21"/>
    <n v="416.49"/>
    <n v="0.86466840618248775"/>
    <n v="1183.6493656901694"/>
    <x v="1"/>
    <m/>
  </r>
  <r>
    <x v="1"/>
    <s v="2026 H1"/>
    <s v="2026 Q2"/>
    <x v="8"/>
    <m/>
    <x v="0"/>
    <x v="1"/>
    <n v="14"/>
    <n v="484.53999999999996"/>
    <n v="0.88899988022509691"/>
    <n v="752.9759725002416"/>
    <x v="1"/>
    <m/>
  </r>
  <r>
    <x v="1"/>
    <s v="2026 H1"/>
    <s v="2026 Q2"/>
    <x v="8"/>
    <m/>
    <x v="0"/>
    <x v="2"/>
    <n v="173"/>
    <n v="157.22999999999999"/>
    <n v="0.96195542682138557"/>
    <n v="1034.8424456711234"/>
    <x v="1"/>
    <m/>
  </r>
  <r>
    <x v="1"/>
    <s v="2026 H1"/>
    <s v="2026 Q2"/>
    <x v="8"/>
    <m/>
    <x v="1"/>
    <x v="3"/>
    <n v="28"/>
    <n v="177.26"/>
    <n v="0.21279582939620434"/>
    <n v="3907.1147158744066"/>
    <x v="1"/>
    <m/>
  </r>
  <r>
    <x v="1"/>
    <s v="2026 H1"/>
    <s v="2026 Q2"/>
    <x v="8"/>
    <m/>
    <x v="1"/>
    <x v="4"/>
    <n v="71"/>
    <n v="378.43"/>
    <n v="0.76749224436174512"/>
    <n v="6247.1416075991201"/>
    <x v="1"/>
    <m/>
  </r>
  <r>
    <x v="1"/>
    <s v="2026 H1"/>
    <s v="2026 Q2"/>
    <x v="9"/>
    <m/>
    <x v="0"/>
    <x v="0"/>
    <n v="188"/>
    <n v="79.81"/>
    <n v="4.3050670858032936E-2"/>
    <n v="14358.335680258235"/>
    <x v="1"/>
    <m/>
  </r>
  <r>
    <x v="1"/>
    <s v="2026 H1"/>
    <s v="2026 Q2"/>
    <x v="9"/>
    <m/>
    <x v="0"/>
    <x v="1"/>
    <n v="124"/>
    <n v="478.13"/>
    <n v="0.26754643052715177"/>
    <n v="43425.795121334566"/>
    <x v="1"/>
    <m/>
  </r>
  <r>
    <x v="1"/>
    <s v="2026 H1"/>
    <s v="2026 Q2"/>
    <x v="9"/>
    <m/>
    <x v="0"/>
    <x v="2"/>
    <n v="21"/>
    <n v="110.15"/>
    <n v="0.61329447355835986"/>
    <n v="894.50788848847992"/>
    <x v="1"/>
    <m/>
  </r>
  <r>
    <x v="1"/>
    <s v="2026 H1"/>
    <s v="2026 Q2"/>
    <x v="9"/>
    <m/>
    <x v="1"/>
    <x v="3"/>
    <n v="65"/>
    <n v="94.45"/>
    <n v="5.1708959109472374E-2"/>
    <n v="5821.7957727871717"/>
    <x v="1"/>
    <m/>
  </r>
  <r>
    <x v="1"/>
    <s v="2026 H1"/>
    <s v="2026 Q2"/>
    <x v="9"/>
    <m/>
    <x v="1"/>
    <x v="4"/>
    <n v="27"/>
    <n v="308.71999999999997"/>
    <n v="0.55635185142710342"/>
    <n v="3698.0025235404646"/>
    <x v="1"/>
    <m/>
  </r>
  <r>
    <x v="1"/>
    <s v="2026 H2"/>
    <s v="2026 Q3"/>
    <x v="10"/>
    <m/>
    <x v="0"/>
    <x v="0"/>
    <n v="104"/>
    <n v="109.95"/>
    <n v="0.27685516479237871"/>
    <n v="8269.0165616321083"/>
    <x v="1"/>
    <m/>
  </r>
  <r>
    <x v="1"/>
    <s v="2026 H2"/>
    <s v="2026 Q3"/>
    <x v="10"/>
    <m/>
    <x v="0"/>
    <x v="1"/>
    <n v="43"/>
    <n v="355.96"/>
    <n v="0.70562184139139073"/>
    <n v="4505.8345215477839"/>
    <x v="1"/>
    <m/>
  </r>
  <r>
    <x v="1"/>
    <s v="2026 H2"/>
    <s v="2026 Q3"/>
    <x v="10"/>
    <m/>
    <x v="0"/>
    <x v="2"/>
    <n v="24"/>
    <n v="219.04"/>
    <n v="0.29604082973296741"/>
    <n v="3700.6851997269796"/>
    <x v="1"/>
    <m/>
  </r>
  <r>
    <x v="1"/>
    <s v="2026 H2"/>
    <s v="2026 Q3"/>
    <x v="10"/>
    <m/>
    <x v="1"/>
    <x v="3"/>
    <n v="199"/>
    <n v="139.51"/>
    <n v="0.98222605866356771"/>
    <n v="493.44886861328797"/>
    <x v="1"/>
    <m/>
  </r>
  <r>
    <x v="1"/>
    <s v="2026 H2"/>
    <s v="2026 Q3"/>
    <x v="10"/>
    <m/>
    <x v="1"/>
    <x v="4"/>
    <n v="61"/>
    <n v="218.19"/>
    <n v="1.8103373796382605E-2"/>
    <n v="13068.641517153404"/>
    <x v="1"/>
    <m/>
  </r>
  <r>
    <x v="1"/>
    <s v="2026 H2"/>
    <s v="2026 Q3"/>
    <x v="11"/>
    <m/>
    <x v="0"/>
    <x v="0"/>
    <n v="77"/>
    <n v="448.34999999999997"/>
    <n v="0.76378266707517872"/>
    <n v="8154.9191736969578"/>
    <x v="1"/>
    <m/>
  </r>
  <r>
    <x v="1"/>
    <s v="2026 H2"/>
    <s v="2026 Q3"/>
    <x v="11"/>
    <m/>
    <x v="0"/>
    <x v="1"/>
    <n v="21"/>
    <n v="435.38"/>
    <n v="0.21292115080420526"/>
    <n v="7196.2461766201668"/>
    <x v="1"/>
    <m/>
  </r>
  <r>
    <x v="1"/>
    <s v="2026 H2"/>
    <s v="2026 Q3"/>
    <x v="11"/>
    <m/>
    <x v="0"/>
    <x v="2"/>
    <n v="147"/>
    <n v="105.92"/>
    <n v="0.70641382474749426"/>
    <n v="4571.2072093635752"/>
    <x v="1"/>
    <m/>
  </r>
  <r>
    <x v="1"/>
    <s v="2026 H2"/>
    <s v="2026 Q3"/>
    <x v="11"/>
    <m/>
    <x v="1"/>
    <x v="3"/>
    <n v="189"/>
    <n v="426.15"/>
    <n v="0.94011205669636144"/>
    <n v="4823.5156903418128"/>
    <x v="1"/>
    <m/>
  </r>
  <r>
    <x v="1"/>
    <s v="2026 H2"/>
    <s v="2026 Q3"/>
    <x v="11"/>
    <m/>
    <x v="1"/>
    <x v="4"/>
    <n v="60"/>
    <n v="83.75"/>
    <n v="0.52285291033047243"/>
    <n v="2397.664125589376"/>
    <x v="1"/>
    <m/>
  </r>
  <r>
    <x v="0"/>
    <s v="2025 H2"/>
    <s v="2025 Q3"/>
    <x v="0"/>
    <m/>
    <x v="0"/>
    <x v="0"/>
    <n v="176"/>
    <n v="285.02"/>
    <n v="0.21918161087928767"/>
    <n v="39168.598879024634"/>
    <x v="1"/>
    <m/>
  </r>
  <r>
    <x v="0"/>
    <s v="2025 H2"/>
    <s v="2025 Q3"/>
    <x v="0"/>
    <m/>
    <x v="0"/>
    <x v="1"/>
    <n v="117"/>
    <n v="111.76"/>
    <n v="0.19506899965734026"/>
    <n v="10525.213366000591"/>
    <x v="1"/>
    <m/>
  </r>
  <r>
    <x v="0"/>
    <s v="2025 H2"/>
    <s v="2025 Q3"/>
    <x v="0"/>
    <m/>
    <x v="0"/>
    <x v="2"/>
    <n v="1"/>
    <n v="375.44"/>
    <n v="0.29419691275106907"/>
    <n v="264.98671107673863"/>
    <x v="1"/>
    <m/>
  </r>
  <r>
    <x v="0"/>
    <s v="2025 H2"/>
    <s v="2025 Q3"/>
    <x v="0"/>
    <m/>
    <x v="1"/>
    <x v="3"/>
    <n v="101"/>
    <n v="386.53999999999996"/>
    <n v="3.3888988287457678E-2"/>
    <n v="37717.495597203968"/>
    <x v="1"/>
    <m/>
  </r>
  <r>
    <x v="0"/>
    <s v="2025 H2"/>
    <s v="2025 Q3"/>
    <x v="0"/>
    <m/>
    <x v="1"/>
    <x v="4"/>
    <n v="25"/>
    <n v="472.53"/>
    <n v="0.30882180591311137"/>
    <n v="8165.0608012969369"/>
    <x v="1"/>
    <m/>
  </r>
  <r>
    <x v="1"/>
    <s v="2026 H2"/>
    <s v="2026 Q4"/>
    <x v="12"/>
    <m/>
    <x v="0"/>
    <x v="0"/>
    <n v="50"/>
    <n v="334.19"/>
    <n v="0.35765790073595582"/>
    <n v="10733.215307652546"/>
    <x v="1"/>
    <m/>
  </r>
  <r>
    <x v="1"/>
    <s v="2026 H2"/>
    <s v="2026 Q4"/>
    <x v="12"/>
    <m/>
    <x v="0"/>
    <x v="1"/>
    <n v="70"/>
    <n v="433.51"/>
    <n v="0.8249251057418906"/>
    <n v="5312.7702186883107"/>
    <x v="1"/>
    <m/>
  </r>
  <r>
    <x v="1"/>
    <s v="2026 H2"/>
    <s v="2026 Q4"/>
    <x v="12"/>
    <m/>
    <x v="0"/>
    <x v="2"/>
    <n v="36"/>
    <n v="423.96"/>
    <n v="0.37298337133771287"/>
    <n v="9569.8789159558764"/>
    <x v="1"/>
    <m/>
  </r>
  <r>
    <x v="1"/>
    <s v="2026 H2"/>
    <s v="2026 Q4"/>
    <x v="12"/>
    <m/>
    <x v="1"/>
    <x v="3"/>
    <n v="32"/>
    <n v="231.97"/>
    <n v="0.97145267247336986"/>
    <n v="211.9079541232766"/>
    <x v="1"/>
    <m/>
  </r>
  <r>
    <x v="1"/>
    <s v="2026 H2"/>
    <s v="2026 Q4"/>
    <x v="12"/>
    <m/>
    <x v="1"/>
    <x v="4"/>
    <n v="178"/>
    <n v="280.27999999999997"/>
    <n v="0.55101364424446631"/>
    <n v="22399.857450826654"/>
    <x v="1"/>
    <m/>
  </r>
  <r>
    <x v="1"/>
    <s v="2026 H2"/>
    <s v="2026 Q4"/>
    <x v="13"/>
    <m/>
    <x v="0"/>
    <x v="0"/>
    <n v="160"/>
    <n v="142.26999999999998"/>
    <n v="0.19996947193011494"/>
    <n v="18211.254916560407"/>
    <x v="1"/>
    <m/>
  </r>
  <r>
    <x v="1"/>
    <s v="2026 H2"/>
    <s v="2026 Q4"/>
    <x v="13"/>
    <m/>
    <x v="0"/>
    <x v="1"/>
    <n v="26"/>
    <n v="256.68"/>
    <n v="0.8130958743920641"/>
    <n v="1247.3383249871697"/>
    <x v="1"/>
    <m/>
  </r>
  <r>
    <x v="1"/>
    <s v="2026 H2"/>
    <s v="2026 Q4"/>
    <x v="13"/>
    <m/>
    <x v="0"/>
    <x v="2"/>
    <n v="140"/>
    <n v="509"/>
    <n v="0.76874317145583559"/>
    <n v="16479.361602057157"/>
    <x v="1"/>
    <m/>
  </r>
  <r>
    <x v="1"/>
    <s v="2026 H2"/>
    <s v="2026 Q4"/>
    <x v="13"/>
    <m/>
    <x v="1"/>
    <x v="3"/>
    <n v="40"/>
    <n v="308.39"/>
    <n v="0.63164338206610426"/>
    <n v="4543.899896185364"/>
    <x v="1"/>
    <m/>
  </r>
  <r>
    <x v="1"/>
    <s v="2026 H2"/>
    <s v="2026 Q4"/>
    <x v="13"/>
    <m/>
    <x v="1"/>
    <x v="4"/>
    <n v="169"/>
    <n v="181.16"/>
    <n v="0.86424350311523213"/>
    <n v="4156.3263388839287"/>
    <x v="1"/>
    <m/>
  </r>
  <r>
    <x v="1"/>
    <s v="2026 H2"/>
    <s v="2026 Q4"/>
    <x v="14"/>
    <m/>
    <x v="0"/>
    <x v="0"/>
    <n v="51"/>
    <n v="454.9"/>
    <n v="0.6226779829546164"/>
    <n v="8753.8330632511934"/>
    <x v="1"/>
    <m/>
  </r>
  <r>
    <x v="1"/>
    <s v="2026 H2"/>
    <s v="2026 Q4"/>
    <x v="14"/>
    <m/>
    <x v="0"/>
    <x v="1"/>
    <n v="99"/>
    <n v="21.450000000000003"/>
    <n v="0.69156385556930633"/>
    <n v="654.97957450579963"/>
    <x v="1"/>
    <m/>
  </r>
  <r>
    <x v="1"/>
    <s v="2026 H2"/>
    <s v="2026 Q4"/>
    <x v="14"/>
    <m/>
    <x v="0"/>
    <x v="2"/>
    <n v="183"/>
    <n v="223.67999999999998"/>
    <n v="0.14255007969114986"/>
    <n v="35098.374865967096"/>
    <x v="1"/>
    <m/>
  </r>
  <r>
    <x v="1"/>
    <s v="2026 H2"/>
    <s v="2026 Q4"/>
    <x v="14"/>
    <m/>
    <x v="1"/>
    <x v="3"/>
    <n v="20"/>
    <n v="72.010000000000005"/>
    <n v="0.56924949055127105"/>
    <n v="620.3668837080595"/>
    <x v="1"/>
    <m/>
  </r>
  <r>
    <x v="1"/>
    <s v="2026 H2"/>
    <s v="2026 Q4"/>
    <x v="14"/>
    <m/>
    <x v="1"/>
    <x v="4"/>
    <n v="78"/>
    <n v="391.96999999999997"/>
    <n v="0.49304006677259427"/>
    <n v="15499.620632117403"/>
    <x v="1"/>
    <m/>
  </r>
  <r>
    <x v="2"/>
    <s v="2027 H1"/>
    <s v="2027 Q1"/>
    <x v="15"/>
    <m/>
    <x v="0"/>
    <x v="0"/>
    <n v="106"/>
    <n v="412.56"/>
    <n v="0.46105077390339955"/>
    <n v="23568.982628151829"/>
    <x v="1"/>
    <m/>
  </r>
  <r>
    <x v="2"/>
    <s v="2027 H1"/>
    <s v="2027 Q1"/>
    <x v="15"/>
    <m/>
    <x v="0"/>
    <x v="1"/>
    <n v="76"/>
    <n v="252.29999999999998"/>
    <n v="0.27708759511980641"/>
    <n v="13861.700781096735"/>
    <x v="1"/>
    <m/>
  </r>
  <r>
    <x v="2"/>
    <s v="2027 H1"/>
    <s v="2027 Q1"/>
    <x v="15"/>
    <m/>
    <x v="0"/>
    <x v="2"/>
    <n v="184"/>
    <n v="375.58"/>
    <n v="0.50756186864632347"/>
    <n v="34030.784060781749"/>
    <x v="1"/>
    <m/>
  </r>
  <r>
    <x v="2"/>
    <s v="2027 H1"/>
    <s v="2027 Q1"/>
    <x v="15"/>
    <m/>
    <x v="1"/>
    <x v="3"/>
    <n v="125"/>
    <n v="329.28999999999996"/>
    <n v="0.23411399167627212"/>
    <n v="31524.82546011504"/>
    <x v="1"/>
    <m/>
  </r>
  <r>
    <x v="2"/>
    <s v="2027 H1"/>
    <s v="2027 Q1"/>
    <x v="15"/>
    <m/>
    <x v="1"/>
    <x v="4"/>
    <n v="45"/>
    <n v="71.680000000000007"/>
    <n v="0.65763200737646166"/>
    <n v="1104.3421970064853"/>
    <x v="1"/>
    <m/>
  </r>
  <r>
    <x v="2"/>
    <s v="2027 H1"/>
    <s v="2027 Q1"/>
    <x v="16"/>
    <m/>
    <x v="0"/>
    <x v="0"/>
    <n v="46"/>
    <n v="311.73"/>
    <n v="0.54497153902059869"/>
    <n v="6524.9170184910045"/>
    <x v="1"/>
    <m/>
  </r>
  <r>
    <x v="2"/>
    <s v="2027 H1"/>
    <s v="2027 Q1"/>
    <x v="16"/>
    <m/>
    <x v="0"/>
    <x v="1"/>
    <n v="131"/>
    <n v="358.09"/>
    <n v="6.2512289325966641E-4"/>
    <n v="46880.465616352987"/>
    <x v="1"/>
    <m/>
  </r>
  <r>
    <x v="2"/>
    <s v="2027 H1"/>
    <s v="2027 Q1"/>
    <x v="16"/>
    <m/>
    <x v="0"/>
    <x v="2"/>
    <n v="85"/>
    <n v="310.78999999999996"/>
    <n v="2.6860807040799184E-2"/>
    <n v="25707.564031282149"/>
    <x v="1"/>
    <m/>
  </r>
  <r>
    <x v="2"/>
    <s v="2027 H1"/>
    <s v="2027 Q1"/>
    <x v="16"/>
    <m/>
    <x v="1"/>
    <x v="3"/>
    <n v="41"/>
    <n v="48.769999999999996"/>
    <n v="0.66305133207086386"/>
    <n v="673.75244793106276"/>
    <x v="1"/>
    <m/>
  </r>
  <r>
    <x v="2"/>
    <s v="2027 H1"/>
    <s v="2027 Q1"/>
    <x v="16"/>
    <m/>
    <x v="1"/>
    <x v="4"/>
    <n v="124"/>
    <n v="261.17"/>
    <n v="6.1111619860429123E-2"/>
    <n v="30405.975301890416"/>
    <x v="1"/>
    <m/>
  </r>
  <r>
    <x v="2"/>
    <s v="2027 H1"/>
    <s v="2027 Q1"/>
    <x v="17"/>
    <m/>
    <x v="0"/>
    <x v="0"/>
    <n v="144"/>
    <n v="139.35999999999999"/>
    <n v="0.8129705019941893"/>
    <n v="3753.2780412609277"/>
    <x v="1"/>
    <m/>
  </r>
  <r>
    <x v="2"/>
    <s v="2027 H1"/>
    <s v="2027 Q1"/>
    <x v="17"/>
    <m/>
    <x v="0"/>
    <x v="1"/>
    <n v="183"/>
    <n v="379.14"/>
    <n v="0.85218489392367802"/>
    <n v="10255.799335153139"/>
    <x v="1"/>
    <m/>
  </r>
  <r>
    <x v="2"/>
    <s v="2027 H1"/>
    <s v="2027 Q1"/>
    <x v="17"/>
    <m/>
    <x v="0"/>
    <x v="2"/>
    <n v="107"/>
    <n v="344.08"/>
    <n v="0.56616832992464661"/>
    <n v="15972.189711229452"/>
    <x v="1"/>
    <m/>
  </r>
  <r>
    <x v="2"/>
    <s v="2027 H1"/>
    <s v="2027 Q1"/>
    <x v="17"/>
    <m/>
    <x v="1"/>
    <x v="3"/>
    <n v="51"/>
    <n v="217.07"/>
    <n v="0.96554506477293167"/>
    <n v="381.4357722767258"/>
    <x v="1"/>
    <m/>
  </r>
  <r>
    <x v="2"/>
    <s v="2027 H1"/>
    <s v="2027 Q1"/>
    <x v="17"/>
    <m/>
    <x v="1"/>
    <x v="4"/>
    <n v="35"/>
    <n v="296.51"/>
    <n v="0.91762588662536837"/>
    <n v="854.86619248492093"/>
    <x v="1"/>
    <m/>
  </r>
  <r>
    <x v="2"/>
    <s v="2027 H1"/>
    <s v="2027 Q2"/>
    <x v="18"/>
    <m/>
    <x v="0"/>
    <x v="0"/>
    <n v="29"/>
    <n v="39.94"/>
    <n v="0.9833447541598227"/>
    <n v="19.291105046843761"/>
    <x v="1"/>
    <m/>
  </r>
  <r>
    <x v="2"/>
    <s v="2027 H1"/>
    <s v="2027 Q2"/>
    <x v="18"/>
    <m/>
    <x v="0"/>
    <x v="1"/>
    <n v="147"/>
    <n v="225.98"/>
    <n v="0.5898061460811026"/>
    <n v="13626.254244963087"/>
    <x v="1"/>
    <m/>
  </r>
  <r>
    <x v="2"/>
    <s v="2027 H1"/>
    <s v="2027 Q2"/>
    <x v="18"/>
    <m/>
    <x v="0"/>
    <x v="2"/>
    <n v="129"/>
    <n v="464.87"/>
    <n v="0.30009422014009501"/>
    <n v="41972.11078496815"/>
    <x v="1"/>
    <m/>
  </r>
  <r>
    <x v="2"/>
    <s v="2027 H1"/>
    <s v="2027 Q2"/>
    <x v="18"/>
    <m/>
    <x v="1"/>
    <x v="3"/>
    <n v="179"/>
    <n v="190.12"/>
    <n v="0.79901568093279962"/>
    <n v="6839.7938346490491"/>
    <x v="1"/>
    <m/>
  </r>
  <r>
    <x v="2"/>
    <s v="2027 H1"/>
    <s v="2027 Q2"/>
    <x v="18"/>
    <m/>
    <x v="1"/>
    <x v="4"/>
    <n v="30"/>
    <n v="371.58"/>
    <n v="0.80757675621227443"/>
    <n v="2145.0188677992919"/>
    <x v="1"/>
    <m/>
  </r>
  <r>
    <x v="2"/>
    <s v="2027 H1"/>
    <s v="2027 Q2"/>
    <x v="19"/>
    <m/>
    <x v="0"/>
    <x v="0"/>
    <n v="83"/>
    <n v="59.339999999999996"/>
    <n v="0.9436094411721605"/>
    <n v="277.73590815005161"/>
    <x v="1"/>
    <m/>
  </r>
  <r>
    <x v="2"/>
    <s v="2027 H1"/>
    <s v="2027 Q2"/>
    <x v="19"/>
    <m/>
    <x v="0"/>
    <x v="1"/>
    <n v="164"/>
    <n v="89.29"/>
    <n v="0.61451766838029276"/>
    <n v="5644.8336520130806"/>
    <x v="1"/>
    <m/>
  </r>
  <r>
    <x v="2"/>
    <s v="2027 H1"/>
    <s v="2027 Q2"/>
    <x v="19"/>
    <m/>
    <x v="0"/>
    <x v="2"/>
    <n v="75"/>
    <n v="101.28"/>
    <n v="0.63358562242678518"/>
    <n v="2783.2836120461398"/>
    <x v="1"/>
    <m/>
  </r>
  <r>
    <x v="2"/>
    <s v="2027 H1"/>
    <s v="2027 Q2"/>
    <x v="19"/>
    <m/>
    <x v="1"/>
    <x v="3"/>
    <n v="96"/>
    <n v="343.45"/>
    <n v="0.10722699555262083"/>
    <n v="29435.797284235425"/>
    <x v="1"/>
    <m/>
  </r>
  <r>
    <x v="2"/>
    <s v="2027 H1"/>
    <s v="2027 Q2"/>
    <x v="19"/>
    <m/>
    <x v="1"/>
    <x v="4"/>
    <n v="64"/>
    <n v="268"/>
    <n v="0.71805971321078055"/>
    <n v="4835.8397990086924"/>
    <x v="1"/>
    <m/>
  </r>
  <r>
    <x v="2"/>
    <s v="2027 H1"/>
    <s v="2027 Q2"/>
    <x v="20"/>
    <m/>
    <x v="0"/>
    <x v="0"/>
    <n v="101"/>
    <n v="322.90999999999997"/>
    <n v="0.19130891080974188"/>
    <n v="26374.578400653048"/>
    <x v="1"/>
    <m/>
  </r>
  <r>
    <x v="2"/>
    <s v="2027 H1"/>
    <s v="2027 Q2"/>
    <x v="20"/>
    <m/>
    <x v="0"/>
    <x v="1"/>
    <n v="53"/>
    <n v="242.07999999999998"/>
    <n v="1.1582370029918909E-2"/>
    <n v="12681.635412747333"/>
    <x v="1"/>
    <m/>
  </r>
  <r>
    <x v="2"/>
    <s v="2027 H1"/>
    <s v="2027 Q2"/>
    <x v="20"/>
    <m/>
    <x v="0"/>
    <x v="2"/>
    <n v="74"/>
    <n v="343.49"/>
    <n v="0.40268375373126319"/>
    <n v="15182.739649882784"/>
    <x v="1"/>
    <m/>
  </r>
  <r>
    <x v="2"/>
    <s v="2027 H1"/>
    <s v="2027 Q2"/>
    <x v="20"/>
    <m/>
    <x v="1"/>
    <x v="3"/>
    <n v="37"/>
    <n v="248.19"/>
    <n v="0.54658767063291225"/>
    <n v="4163.6990229478479"/>
    <x v="1"/>
    <m/>
  </r>
  <r>
    <x v="2"/>
    <s v="2027 H1"/>
    <s v="2027 Q2"/>
    <x v="20"/>
    <m/>
    <x v="1"/>
    <x v="4"/>
    <n v="4"/>
    <n v="230.39999999999998"/>
    <n v="6.9157367843226458E-2"/>
    <n v="857.86456979568243"/>
    <x v="1"/>
    <m/>
  </r>
  <r>
    <x v="2"/>
    <s v="2027 H2"/>
    <s v="2027 Q3"/>
    <x v="21"/>
    <m/>
    <x v="0"/>
    <x v="0"/>
    <n v="162"/>
    <n v="401.3"/>
    <n v="9.4753630624566876E-2"/>
    <n v="58850.609620918534"/>
    <x v="1"/>
    <m/>
  </r>
  <r>
    <x v="2"/>
    <s v="2027 H2"/>
    <s v="2027 Q3"/>
    <x v="21"/>
    <m/>
    <x v="0"/>
    <x v="1"/>
    <n v="18"/>
    <n v="264.67"/>
    <n v="0.56951909743300211"/>
    <n v="2050.8368486833319"/>
    <x v="1"/>
    <m/>
  </r>
  <r>
    <x v="2"/>
    <s v="2027 H2"/>
    <s v="2027 Q3"/>
    <x v="21"/>
    <m/>
    <x v="0"/>
    <x v="2"/>
    <n v="29"/>
    <n v="75.070000000000007"/>
    <n v="0.91654677018861164"/>
    <n v="181.68018489628682"/>
    <x v="1"/>
    <m/>
  </r>
  <r>
    <x v="2"/>
    <s v="2027 H2"/>
    <s v="2027 Q3"/>
    <x v="21"/>
    <m/>
    <x v="1"/>
    <x v="3"/>
    <n v="197"/>
    <n v="14.24"/>
    <n v="0.28190813505560097"/>
    <n v="2014.4487468912239"/>
    <x v="1"/>
    <m/>
  </r>
  <r>
    <x v="2"/>
    <s v="2027 H2"/>
    <s v="2027 Q3"/>
    <x v="21"/>
    <m/>
    <x v="1"/>
    <x v="4"/>
    <n v="166"/>
    <n v="465.65999999999997"/>
    <n v="0.53220667476195382"/>
    <n v="36160.218211837862"/>
    <x v="1"/>
    <m/>
  </r>
  <r>
    <x v="2"/>
    <s v="2027 H2"/>
    <s v="2027 Q3"/>
    <x v="22"/>
    <m/>
    <x v="0"/>
    <x v="0"/>
    <n v="181"/>
    <n v="291.34999999999997"/>
    <n v="0.98325860082182504"/>
    <n v="882.84680375159087"/>
    <x v="1"/>
    <m/>
  </r>
  <r>
    <x v="2"/>
    <s v="2027 H2"/>
    <s v="2027 Q3"/>
    <x v="22"/>
    <m/>
    <x v="0"/>
    <x v="1"/>
    <n v="112"/>
    <n v="156.04999999999998"/>
    <n v="0.72611295556036526"/>
    <n v="4786.8882078981596"/>
    <x v="1"/>
    <m/>
  </r>
  <r>
    <x v="2"/>
    <s v="2027 H2"/>
    <s v="2027 Q3"/>
    <x v="22"/>
    <m/>
    <x v="0"/>
    <x v="2"/>
    <n v="108"/>
    <n v="191.42"/>
    <n v="0.35871201822773646"/>
    <n v="13257.57731085144"/>
    <x v="1"/>
    <m/>
  </r>
  <r>
    <x v="2"/>
    <s v="2027 H2"/>
    <s v="2027 Q3"/>
    <x v="22"/>
    <m/>
    <x v="1"/>
    <x v="3"/>
    <n v="21"/>
    <n v="370.61"/>
    <n v="0.12920295761392564"/>
    <n v="6777.2479294527639"/>
    <x v="1"/>
    <m/>
  </r>
  <r>
    <x v="2"/>
    <s v="2027 H2"/>
    <s v="2027 Q3"/>
    <x v="22"/>
    <m/>
    <x v="1"/>
    <x v="4"/>
    <n v="179"/>
    <n v="139.07999999999998"/>
    <n v="0.31884148393862421"/>
    <n v="16957.659228073087"/>
    <x v="1"/>
    <m/>
  </r>
  <r>
    <x v="0"/>
    <s v="2025 H2"/>
    <s v="2025 Q3"/>
    <x v="0"/>
    <m/>
    <x v="0"/>
    <x v="0"/>
    <n v="60"/>
    <n v="176.14"/>
    <n v="0.55984197992742901"/>
    <n v="4651.7660193349593"/>
    <x v="1"/>
    <m/>
  </r>
  <r>
    <x v="0"/>
    <s v="2025 H2"/>
    <s v="2025 Q3"/>
    <x v="0"/>
    <m/>
    <x v="0"/>
    <x v="1"/>
    <n v="42"/>
    <n v="381.87"/>
    <n v="0.22327897160119892"/>
    <n v="12457.471282815308"/>
    <x v="1"/>
    <m/>
  </r>
  <r>
    <x v="0"/>
    <s v="2025 H2"/>
    <s v="2025 Q3"/>
    <x v="0"/>
    <m/>
    <x v="0"/>
    <x v="2"/>
    <n v="2"/>
    <n v="167.2"/>
    <n v="0.17018918709854092"/>
    <n v="277.4887358342479"/>
    <x v="1"/>
    <m/>
  </r>
  <r>
    <x v="0"/>
    <s v="2025 H2"/>
    <s v="2025 Q3"/>
    <x v="0"/>
    <m/>
    <x v="1"/>
    <x v="3"/>
    <n v="110"/>
    <n v="73.28"/>
    <n v="0.17254822323279573"/>
    <n v="6669.9232821650803"/>
    <x v="1"/>
    <m/>
  </r>
  <r>
    <x v="0"/>
    <s v="2025 H2"/>
    <s v="2025 Q3"/>
    <x v="0"/>
    <m/>
    <x v="1"/>
    <x v="4"/>
    <n v="60"/>
    <n v="465.52"/>
    <n v="0.76212555266704796"/>
    <n v="6644.1187633461495"/>
    <x v="1"/>
    <m/>
  </r>
  <r>
    <x v="2"/>
    <s v="2027 H2"/>
    <s v="2027 Q4"/>
    <x v="23"/>
    <m/>
    <x v="0"/>
    <x v="0"/>
    <n v="68"/>
    <n v="103.71000000000001"/>
    <n v="0.47820212521624461"/>
    <n v="3679.8647163799828"/>
    <x v="1"/>
    <m/>
  </r>
  <r>
    <x v="2"/>
    <s v="2027 H2"/>
    <s v="2027 Q4"/>
    <x v="23"/>
    <m/>
    <x v="0"/>
    <x v="1"/>
    <n v="123"/>
    <n v="80.58"/>
    <n v="0.87830491495280938"/>
    <n v="1206.1613642316222"/>
    <x v="1"/>
    <m/>
  </r>
  <r>
    <x v="2"/>
    <s v="2027 H2"/>
    <s v="2027 Q4"/>
    <x v="23"/>
    <m/>
    <x v="0"/>
    <x v="2"/>
    <n v="173"/>
    <n v="432.88"/>
    <n v="0.5248504656805939"/>
    <n v="35583.11236199992"/>
    <x v="1"/>
    <m/>
  </r>
  <r>
    <x v="2"/>
    <s v="2027 H2"/>
    <s v="2027 Q4"/>
    <x v="23"/>
    <m/>
    <x v="1"/>
    <x v="3"/>
    <n v="93"/>
    <n v="244.41"/>
    <n v="0.70452433743110909"/>
    <n v="6716.2002220270242"/>
    <x v="1"/>
    <m/>
  </r>
  <r>
    <x v="2"/>
    <s v="2027 H2"/>
    <s v="2027 Q4"/>
    <x v="23"/>
    <m/>
    <x v="1"/>
    <x v="4"/>
    <n v="20"/>
    <n v="148.41999999999999"/>
    <n v="9.1707139422639528E-2"/>
    <n v="2696.1765273378364"/>
    <x v="1"/>
    <m/>
  </r>
  <r>
    <x v="2"/>
    <s v="2027 H2"/>
    <s v="2027 Q4"/>
    <x v="24"/>
    <m/>
    <x v="0"/>
    <x v="0"/>
    <n v="98"/>
    <n v="12.01"/>
    <n v="0.3954837075227664"/>
    <n v="711.50358591985446"/>
    <x v="1"/>
    <m/>
  </r>
  <r>
    <x v="2"/>
    <s v="2027 H2"/>
    <s v="2027 Q4"/>
    <x v="24"/>
    <m/>
    <x v="0"/>
    <x v="1"/>
    <n v="34"/>
    <n v="325.18"/>
    <n v="0.52960830126178393"/>
    <n v="5200.7070682535659"/>
    <x v="1"/>
    <m/>
  </r>
  <r>
    <x v="2"/>
    <s v="2027 H2"/>
    <s v="2027 Q4"/>
    <x v="24"/>
    <m/>
    <x v="0"/>
    <x v="2"/>
    <n v="177"/>
    <n v="227.17999999999998"/>
    <n v="0.19985510638561943"/>
    <n v="32174.514296842746"/>
    <x v="1"/>
    <m/>
  </r>
  <r>
    <x v="2"/>
    <s v="2027 H2"/>
    <s v="2027 Q4"/>
    <x v="24"/>
    <m/>
    <x v="1"/>
    <x v="3"/>
    <n v="15"/>
    <n v="316.65999999999997"/>
    <n v="1.8712745401907704E-2"/>
    <n v="4661.0163306154782"/>
    <x v="1"/>
    <m/>
  </r>
  <r>
    <x v="2"/>
    <s v="2027 H2"/>
    <s v="2027 Q4"/>
    <x v="24"/>
    <m/>
    <x v="1"/>
    <x v="4"/>
    <n v="108"/>
    <n v="422.48"/>
    <n v="0.96543727691222647"/>
    <n v="1577.0223990132367"/>
    <x v="1"/>
    <m/>
  </r>
  <r>
    <x v="2"/>
    <s v="2027 H2"/>
    <s v="2027 Q4"/>
    <x v="25"/>
    <m/>
    <x v="0"/>
    <x v="0"/>
    <n v="4"/>
    <n v="362.94"/>
    <n v="0.17402108599987465"/>
    <n v="1199.1231481888219"/>
    <x v="1"/>
    <m/>
  </r>
  <r>
    <x v="2"/>
    <s v="2027 H2"/>
    <s v="2027 Q4"/>
    <x v="25"/>
    <m/>
    <x v="0"/>
    <x v="1"/>
    <n v="172"/>
    <n v="332.37"/>
    <n v="0.56913435954917491"/>
    <n v="24631.571821662208"/>
    <x v="1"/>
    <m/>
  </r>
  <r>
    <x v="2"/>
    <s v="2027 H2"/>
    <s v="2027 Q4"/>
    <x v="25"/>
    <m/>
    <x v="0"/>
    <x v="2"/>
    <n v="74"/>
    <n v="136.26999999999998"/>
    <n v="0.91539362114206457"/>
    <n v="853.16903227584362"/>
    <x v="1"/>
    <m/>
  </r>
  <r>
    <x v="2"/>
    <s v="2027 H2"/>
    <s v="2027 Q4"/>
    <x v="25"/>
    <m/>
    <x v="1"/>
    <x v="3"/>
    <n v="100"/>
    <n v="72.290000000000006"/>
    <n v="0.65077037082668898"/>
    <n v="2524.5809892938655"/>
    <x v="1"/>
    <m/>
  </r>
  <r>
    <x v="2"/>
    <s v="2027 H2"/>
    <s v="2027 Q4"/>
    <x v="25"/>
    <m/>
    <x v="1"/>
    <x v="4"/>
    <n v="157"/>
    <n v="49.53"/>
    <n v="2.0825093263042049E-2"/>
    <n v="7614.2697015169997"/>
    <x v="1"/>
    <m/>
  </r>
  <r>
    <x v="3"/>
    <s v="2028 H1"/>
    <s v="2028 Q1"/>
    <x v="26"/>
    <m/>
    <x v="0"/>
    <x v="0"/>
    <n v="50"/>
    <n v="139.25"/>
    <n v="0.96362444755678278"/>
    <n v="253.26478388589987"/>
    <x v="1"/>
    <m/>
  </r>
  <r>
    <x v="3"/>
    <s v="2028 H1"/>
    <s v="2028 Q1"/>
    <x v="26"/>
    <m/>
    <x v="0"/>
    <x v="1"/>
    <n v="23"/>
    <n v="349.09999999999997"/>
    <n v="0.22041432354572832"/>
    <n v="6259.5272719542827"/>
    <x v="1"/>
    <m/>
  </r>
  <r>
    <x v="3"/>
    <s v="2028 H1"/>
    <s v="2028 Q1"/>
    <x v="26"/>
    <m/>
    <x v="0"/>
    <x v="2"/>
    <n v="49"/>
    <n v="187"/>
    <n v="0.77434040167665785"/>
    <n v="2067.7188994367839"/>
    <x v="1"/>
    <m/>
  </r>
  <r>
    <x v="3"/>
    <s v="2028 H1"/>
    <s v="2028 Q1"/>
    <x v="26"/>
    <m/>
    <x v="1"/>
    <x v="3"/>
    <n v="192"/>
    <n v="447.02"/>
    <n v="0.42315130925900368"/>
    <n v="49509.677133127712"/>
    <x v="1"/>
    <m/>
  </r>
  <r>
    <x v="3"/>
    <s v="2028 H1"/>
    <s v="2028 Q1"/>
    <x v="26"/>
    <m/>
    <x v="1"/>
    <x v="4"/>
    <n v="67"/>
    <n v="340.18"/>
    <n v="0.54739450628622288"/>
    <n v="10315.811569054031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9D609-3A82-4466-9CB6-C6B41DB8B240}" name="PivotTable3" cacheId="172" applyNumberFormats="0" applyBorderFormats="0" applyFontFormats="0" applyPatternFormats="0" applyAlignmentFormats="0" applyWidthHeightFormats="1" dataCaption="Values" missingCaption="×" updatedVersion="8" minRefreshableVersion="3" useAutoFormatting="1" rowGrandTotals="0" colGrandTotals="0" itemPrintTitles="1" createdVersion="8" indent="0" compact="0" compactData="0" multipleFieldFilters="0">
  <location ref="A6:I15" firstHeaderRow="1" firstDataRow="3" firstDataCol="2" rowPageCount="1" colPageCount="1"/>
  <pivotFields count="16">
    <pivotField axis="axisCol" compact="0" outline="0" showAll="0">
      <items count="5">
        <item x="0"/>
        <item x="1"/>
        <item sd="0" x="2"/>
        <item x="3"/>
        <item t="default"/>
      </items>
    </pivotField>
    <pivotField compact="0" outline="0" showAll="0"/>
    <pivotField compact="0" outline="0" multipleItemSelectionAllowed="1" showAll="0"/>
    <pivotField axis="axisCol" compact="0" numFmtId="164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howAll="0"/>
    <pivotField axis="axisRow" outline="0" showAll="0">
      <items count="3">
        <item x="1"/>
        <item x="0"/>
        <item t="default"/>
      </items>
    </pivotField>
    <pivotField axis="axisRow" compact="0" outline="0" showAll="0">
      <items count="11">
        <item m="1" x="8"/>
        <item m="1" x="9"/>
        <item m="1" x="5"/>
        <item m="1" x="6"/>
        <item m="1" x="7"/>
        <item x="0"/>
        <item x="1"/>
        <item x="2"/>
        <item x="3"/>
        <item x="4"/>
        <item t="default"/>
      </items>
    </pivotField>
    <pivotField compact="0" numFmtId="3" outline="0" showAll="0"/>
    <pivotField compact="0" numFmtId="165" outline="0" showAll="0"/>
    <pivotField compact="0" numFmtId="10" outline="0" showAll="0"/>
    <pivotField dataField="1" compact="0" numFmtId="165" outline="0" showAll="0"/>
    <pivotField axis="axisPage" compact="0" outline="0" multipleItemSelectionAllowed="1" showAll="0" defaultSubtotal="0">
      <items count="2">
        <item x="0"/>
        <item h="1" x="1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6"/>
  </rowFields>
  <rowItems count="7">
    <i>
      <x/>
      <x v="8"/>
    </i>
    <i r="1">
      <x v="9"/>
    </i>
    <i t="default">
      <x/>
    </i>
    <i>
      <x v="1"/>
      <x v="5"/>
    </i>
    <i r="1">
      <x v="6"/>
    </i>
    <i r="1">
      <x v="7"/>
    </i>
    <i t="default">
      <x v="1"/>
    </i>
  </rowItems>
  <colFields count="2">
    <field x="0"/>
    <field x="3"/>
  </colFields>
  <colItems count="7">
    <i>
      <x/>
      <x/>
    </i>
    <i r="1">
      <x v="1"/>
    </i>
    <i r="1">
      <x v="2"/>
    </i>
    <i r="1">
      <x v="3"/>
    </i>
    <i t="default">
      <x/>
    </i>
    <i>
      <x v="1"/>
      <x v="4"/>
    </i>
    <i t="default">
      <x v="1"/>
    </i>
  </colItems>
  <pageFields count="1">
    <pageField fld="11" hier="-1"/>
  </pageFields>
  <dataFields count="1">
    <dataField name="Sum of Выручка" fld="10" baseField="0" baseItem="0" numFmtId="165"/>
  </dataFields>
  <formats count="34">
    <format dxfId="2007">
      <pivotArea type="all" dataOnly="0" outline="0" fieldPosition="0"/>
    </format>
    <format dxfId="2008">
      <pivotArea outline="0" collapsedLevelsAreSubtotals="1" fieldPosition="0"/>
    </format>
    <format dxfId="2009">
      <pivotArea type="origin" dataOnly="0" labelOnly="1" outline="0" fieldPosition="0"/>
    </format>
    <format dxfId="2010">
      <pivotArea field="0" type="button" dataOnly="0" labelOnly="1" outline="0" axis="axisCol" fieldPosition="0"/>
    </format>
    <format dxfId="2011">
      <pivotArea field="-2" type="button" dataOnly="0" labelOnly="1" outline="0" axis="axisValues" fieldPosition="0"/>
    </format>
    <format dxfId="2012">
      <pivotArea type="topRight" dataOnly="0" labelOnly="1" outline="0" fieldPosition="0"/>
    </format>
    <format dxfId="2013">
      <pivotArea field="5" type="button" dataOnly="0" labelOnly="1" outline="0" axis="axisRow" fieldPosition="0"/>
    </format>
    <format dxfId="2014">
      <pivotArea dataOnly="0" labelOnly="1" fieldPosition="0">
        <references count="1">
          <reference field="5" count="0"/>
        </references>
      </pivotArea>
    </format>
    <format dxfId="2015">
      <pivotArea dataOnly="0" labelOnly="1" grandRow="1" outline="0" fieldPosition="0"/>
    </format>
    <format dxfId="2016">
      <pivotArea dataOnly="0" labelOnly="1" fieldPosition="0">
        <references count="2">
          <reference field="5" count="1" selected="0">
            <x v="0"/>
          </reference>
          <reference field="6" count="2">
            <x v="0"/>
            <x v="1"/>
          </reference>
        </references>
      </pivotArea>
    </format>
    <format dxfId="2017">
      <pivotArea dataOnly="0" labelOnly="1" fieldPosition="0">
        <references count="2">
          <reference field="5" count="1" selected="0">
            <x v="1"/>
          </reference>
          <reference field="6" count="3">
            <x v="2"/>
            <x v="3"/>
            <x v="4"/>
          </reference>
        </references>
      </pivotArea>
    </format>
    <format dxfId="2018">
      <pivotArea type="all" dataOnly="0" outline="0" fieldPosition="0"/>
    </format>
    <format dxfId="2019">
      <pivotArea outline="0" collapsedLevelsAreSubtotals="1" fieldPosition="0"/>
    </format>
    <format dxfId="2020">
      <pivotArea type="origin" dataOnly="0" labelOnly="1" outline="0" fieldPosition="0"/>
    </format>
    <format dxfId="2021">
      <pivotArea field="0" type="button" dataOnly="0" labelOnly="1" outline="0" axis="axisCol" fieldPosition="0"/>
    </format>
    <format dxfId="2022">
      <pivotArea field="-2" type="button" dataOnly="0" labelOnly="1" outline="0" axis="axisValues" fieldPosition="0"/>
    </format>
    <format dxfId="2023">
      <pivotArea type="topRight" dataOnly="0" labelOnly="1" outline="0" fieldPosition="0"/>
    </format>
    <format dxfId="2024">
      <pivotArea field="5" type="button" dataOnly="0" labelOnly="1" outline="0" axis="axisRow" fieldPosition="0"/>
    </format>
    <format dxfId="2025">
      <pivotArea dataOnly="0" labelOnly="1" fieldPosition="0">
        <references count="1">
          <reference field="5" count="0"/>
        </references>
      </pivotArea>
    </format>
    <format dxfId="2026">
      <pivotArea dataOnly="0" labelOnly="1" grandRow="1" outline="0" fieldPosition="0"/>
    </format>
    <format dxfId="2027">
      <pivotArea dataOnly="0" labelOnly="1" fieldPosition="0">
        <references count="2">
          <reference field="5" count="1" selected="0">
            <x v="0"/>
          </reference>
          <reference field="6" count="2">
            <x v="0"/>
            <x v="1"/>
          </reference>
        </references>
      </pivotArea>
    </format>
    <format dxfId="2028">
      <pivotArea dataOnly="0" labelOnly="1" fieldPosition="0">
        <references count="2">
          <reference field="5" count="1" selected="0">
            <x v="1"/>
          </reference>
          <reference field="6" count="3">
            <x v="2"/>
            <x v="3"/>
            <x v="4"/>
          </reference>
        </references>
      </pivotArea>
    </format>
    <format dxfId="2029">
      <pivotArea type="all" dataOnly="0" outline="0" fieldPosition="0"/>
    </format>
    <format dxfId="2030">
      <pivotArea outline="0" collapsedLevelsAreSubtotals="1" fieldPosition="0"/>
    </format>
    <format dxfId="2031">
      <pivotArea type="origin" dataOnly="0" labelOnly="1" outline="0" fieldPosition="0"/>
    </format>
    <format dxfId="2032">
      <pivotArea field="0" type="button" dataOnly="0" labelOnly="1" outline="0" axis="axisCol" fieldPosition="0"/>
    </format>
    <format dxfId="2033">
      <pivotArea type="topRight" dataOnly="0" labelOnly="1" outline="0" fieldPosition="0"/>
    </format>
    <format dxfId="2034">
      <pivotArea field="5" type="button" dataOnly="0" labelOnly="1" outline="0" axis="axisRow" fieldPosition="0"/>
    </format>
    <format dxfId="2035">
      <pivotArea field="6" type="button" dataOnly="0" labelOnly="1" outline="0" axis="axisRow" fieldPosition="1"/>
    </format>
    <format dxfId="2036">
      <pivotArea field="-2" type="button" dataOnly="0" labelOnly="1" outline="0" axis="axisValues" fieldPosition="0"/>
    </format>
    <format dxfId="2037">
      <pivotArea dataOnly="0" labelOnly="1" outline="0" fieldPosition="0">
        <references count="1">
          <reference field="5" count="0"/>
        </references>
      </pivotArea>
    </format>
    <format dxfId="2038">
      <pivotArea dataOnly="0" labelOnly="1" outline="0" fieldPosition="0">
        <references count="2">
          <reference field="5" count="1" selected="0">
            <x v="0"/>
          </reference>
          <reference field="6" count="2">
            <x v="0"/>
            <x v="1"/>
          </reference>
        </references>
      </pivotArea>
    </format>
    <format dxfId="2039">
      <pivotArea dataOnly="0" labelOnly="1" outline="0" fieldPosition="0">
        <references count="2">
          <reference field="5" count="1" selected="0">
            <x v="1"/>
          </reference>
          <reference field="6" count="3">
            <x v="2"/>
            <x v="3"/>
            <x v="4"/>
          </reference>
        </references>
      </pivotArea>
    </format>
    <format dxfId="2006">
      <pivotArea dataOnly="0" outline="0" fieldPosition="0">
        <references count="1">
          <reference field="5" count="0" defaultSubtotal="1"/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631E5-8BA8-4A93-BFD0-2F1259A820CF}" name="cubProducts" displayName="cubProducts" ref="A1:M146" totalsRowShown="0" headerRowDxfId="2056" dataDxfId="2057">
  <autoFilter ref="A1:M146" xr:uid="{100631E5-8BA8-4A93-BFD0-2F1259A820CF}"/>
  <tableColumns count="13">
    <tableColumn id="1" xr3:uid="{FEE7EC0B-416F-405F-B37A-52224F705B9E}" name="Year" dataDxfId="2043">
      <calculatedColumnFormula xml:space="preserve"> _xlfn.XLOOKUP(cubProducts[[#This Row],[Month]], tblCalendar[[#Data],[Month]], tblCalendar[[#Data],[Year]])</calculatedColumnFormula>
    </tableColumn>
    <tableColumn id="11" xr3:uid="{07D1D064-7C1E-4555-BC42-AE1EA76E70F4}" name="Half Year" dataDxfId="2042">
      <calculatedColumnFormula xml:space="preserve"> _xlfn.XLOOKUP(cubProducts[[#This Row],[Month]], tblCalendar[[#Data],[Month]], tblCalendar[[#Data],[Half Year]])</calculatedColumnFormula>
    </tableColumn>
    <tableColumn id="2" xr3:uid="{AD77E6CC-99E8-4DA4-8895-5E3A46AF0B8D}" name="Quarter" dataDxfId="2040">
      <calculatedColumnFormula xml:space="preserve"> _xlfn.XLOOKUP(cubProducts[[#This Row],[Month]], tblCalendar[[#Data],[Month]], tblCalendar[[#Data],[Quarter]])</calculatedColumnFormula>
    </tableColumn>
    <tableColumn id="3" xr3:uid="{7BBC2AE6-6297-4A53-A8EB-D9D98F995E9C}" name="Month" dataDxfId="2041"/>
    <tableColumn id="4" xr3:uid="{FA3BC70B-F48A-4C8F-9640-3A593A5FA0B0}" name="Date" dataDxfId="2060"/>
    <tableColumn id="5" xr3:uid="{C20C230D-1FB9-475A-A527-6794F2A5AFF3}" name="Group" dataDxfId="2059"/>
    <tableColumn id="6" xr3:uid="{FE70ECFC-FB5D-4C97-BE7F-A9917A92AC51}" name="Product" dataDxfId="2058"/>
    <tableColumn id="7" xr3:uid="{040DA61E-98CB-47B9-A623-D15A3A99224B}" name="Продано" dataDxfId="2047">
      <calculatedColumnFormula xml:space="preserve"> RANDBETWEEN(0,200)</calculatedColumnFormula>
    </tableColumn>
    <tableColumn id="8" xr3:uid="{703AF47E-3A8B-4497-ACD0-2E2E3126CCC5}" name="Средняя цена" dataDxfId="2054">
      <calculatedColumnFormula xml:space="preserve"> ROUNDUP(10 + RAND() * 500, 2)</calculatedColumnFormula>
    </tableColumn>
    <tableColumn id="9" xr3:uid="{A738CD4A-6111-4132-B45B-794455E0F6E6}" name="Червивость" dataDxfId="2055">
      <calculatedColumnFormula xml:space="preserve"> RAND() * 100%</calculatedColumnFormula>
    </tableColumn>
    <tableColumn id="10" xr3:uid="{B93C765D-295D-401E-BF14-3D1BCEB7733C}" name="Выручка" dataDxfId="2046">
      <calculatedColumnFormula>cubProducts[[#This Row],[Средняя цена]]*cubProducts[[#This Row],[Продано]]*(100% - cubProducts[[#This Row],[Червивость]])</calculatedColumnFormula>
    </tableColumn>
    <tableColumn id="12" xr3:uid="{7C5B9D05-78CC-41DE-899F-98C5EB0BDADD}" name="Версия" dataDxfId="2045"/>
    <tableColumn id="13" xr3:uid="{3118DDD7-1778-4158-AF36-748AE2E0B143}" name="Column2" dataDxfId="2044"/>
  </tableColumns>
  <tableStyleInfo name="TableStyleLight1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262E9A-A931-45CB-AA90-1F0E27A31B17}" name="tblCalendar" displayName="tblCalendar" ref="P1:T30" totalsRowShown="0" headerRowDxfId="0" dataDxfId="2051">
  <autoFilter ref="P1:T30" xr:uid="{68262E9A-A931-45CB-AA90-1F0E27A31B17}"/>
  <tableColumns count="5">
    <tableColumn id="1" xr3:uid="{E53B03D6-F2EC-4D77-B0B4-1748C77A8873}" name="Year" dataDxfId="2050"/>
    <tableColumn id="5" xr3:uid="{68EC7314-27EE-4972-A1C0-3444A498FCB4}" name="Half Year" dataDxfId="2049"/>
    <tableColumn id="2" xr3:uid="{E2A19777-CCFB-44C4-96DF-5CF5E3909F2D}" name="Quarter" dataDxfId="2048"/>
    <tableColumn id="3" xr3:uid="{13C400D9-5C13-4A2D-A610-23FFC37B783F}" name="Month" dataDxfId="2053"/>
    <tableColumn id="4" xr3:uid="{826822AE-0EAD-463D-B773-95DC39BD5034}" name="Day" dataDxfId="2052"/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4002-8104-4350-BDEB-76BF5FE5BD6E}">
  <dimension ref="B2:Q47"/>
  <sheetViews>
    <sheetView zoomScale="175" zoomScaleNormal="175" workbookViewId="0">
      <selection activeCell="O1" sqref="O1:O1048576"/>
    </sheetView>
  </sheetViews>
  <sheetFormatPr defaultRowHeight="12.75" x14ac:dyDescent="0.25"/>
  <cols>
    <col min="2" max="2" width="19.1640625" style="2" customWidth="1"/>
    <col min="3" max="3" width="17.83203125" style="2" bestFit="1" customWidth="1"/>
    <col min="4" max="4" width="35" style="5" customWidth="1"/>
    <col min="5" max="5" width="21" style="5" customWidth="1"/>
    <col min="6" max="9" width="21" customWidth="1"/>
    <col min="15" max="15" width="13.83203125" customWidth="1"/>
  </cols>
  <sheetData>
    <row r="2" spans="2:17" x14ac:dyDescent="0.25">
      <c r="B2" s="2" t="s">
        <v>9</v>
      </c>
      <c r="D2" s="5" t="s">
        <v>11</v>
      </c>
      <c r="F2" t="s">
        <v>11</v>
      </c>
    </row>
    <row r="3" spans="2:17" x14ac:dyDescent="0.25">
      <c r="B3" s="3" t="s">
        <v>0</v>
      </c>
      <c r="C3" s="3" t="s">
        <v>21</v>
      </c>
      <c r="D3" s="6" t="s">
        <v>13</v>
      </c>
      <c r="E3" s="6" t="s">
        <v>22</v>
      </c>
      <c r="F3" s="1" t="s">
        <v>14</v>
      </c>
      <c r="G3" s="1"/>
      <c r="H3" s="1"/>
      <c r="I3" s="1"/>
      <c r="M3" s="1" t="s">
        <v>56</v>
      </c>
      <c r="N3" s="1" t="s">
        <v>23</v>
      </c>
      <c r="O3" s="1" t="s">
        <v>29</v>
      </c>
      <c r="P3" s="1" t="s">
        <v>24</v>
      </c>
    </row>
    <row r="4" spans="2:17" x14ac:dyDescent="0.25">
      <c r="B4" s="2" t="s">
        <v>1</v>
      </c>
      <c r="C4" s="2" t="s">
        <v>217</v>
      </c>
      <c r="D4" s="6" t="s">
        <v>20</v>
      </c>
      <c r="E4" s="6"/>
      <c r="F4" t="s">
        <v>16</v>
      </c>
      <c r="M4" t="s">
        <v>25</v>
      </c>
      <c r="N4" t="s">
        <v>26</v>
      </c>
      <c r="O4" t="s">
        <v>26</v>
      </c>
      <c r="P4" t="s">
        <v>26</v>
      </c>
      <c r="Q4" t="s">
        <v>59</v>
      </c>
    </row>
    <row r="5" spans="2:17" x14ac:dyDescent="0.25">
      <c r="B5" s="2" t="s">
        <v>2</v>
      </c>
      <c r="C5" s="2" t="s">
        <v>218</v>
      </c>
      <c r="D5" s="5" t="s">
        <v>17</v>
      </c>
      <c r="E5" s="5" t="s">
        <v>6</v>
      </c>
      <c r="M5" t="s">
        <v>25</v>
      </c>
      <c r="N5" t="s">
        <v>28</v>
      </c>
      <c r="O5" t="s">
        <v>26</v>
      </c>
      <c r="P5" t="s">
        <v>26</v>
      </c>
      <c r="Q5" t="s">
        <v>60</v>
      </c>
    </row>
    <row r="6" spans="2:17" x14ac:dyDescent="0.25">
      <c r="B6" s="2" t="s">
        <v>3</v>
      </c>
      <c r="C6" s="2" t="s">
        <v>218</v>
      </c>
      <c r="D6" s="5" t="s">
        <v>17</v>
      </c>
      <c r="E6" s="5" t="s">
        <v>6</v>
      </c>
      <c r="M6" t="s">
        <v>25</v>
      </c>
      <c r="N6" t="s">
        <v>26</v>
      </c>
      <c r="O6" t="s">
        <v>27</v>
      </c>
      <c r="P6" t="s">
        <v>27</v>
      </c>
      <c r="Q6" t="s">
        <v>59</v>
      </c>
    </row>
    <row r="7" spans="2:17" x14ac:dyDescent="0.25">
      <c r="B7" s="2" t="s">
        <v>4</v>
      </c>
      <c r="C7" s="2" t="s">
        <v>218</v>
      </c>
      <c r="D7" s="5" t="s">
        <v>12</v>
      </c>
      <c r="E7" s="5" t="s">
        <v>6</v>
      </c>
      <c r="F7" t="s">
        <v>16</v>
      </c>
      <c r="M7" t="s">
        <v>25</v>
      </c>
      <c r="N7" s="10" t="s">
        <v>28</v>
      </c>
      <c r="O7" t="s">
        <v>27</v>
      </c>
      <c r="P7" t="s">
        <v>25</v>
      </c>
      <c r="Q7" t="s">
        <v>60</v>
      </c>
    </row>
    <row r="8" spans="2:17" x14ac:dyDescent="0.25">
      <c r="B8" s="2" t="s">
        <v>5</v>
      </c>
      <c r="C8" s="2" t="s">
        <v>217</v>
      </c>
      <c r="D8" s="6" t="s">
        <v>20</v>
      </c>
      <c r="E8" s="6"/>
    </row>
    <row r="9" spans="2:17" x14ac:dyDescent="0.25">
      <c r="B9" s="2" t="s">
        <v>7</v>
      </c>
      <c r="C9" s="2" t="s">
        <v>218</v>
      </c>
      <c r="D9" s="5" t="s">
        <v>18</v>
      </c>
      <c r="E9" s="5" t="s">
        <v>8</v>
      </c>
      <c r="F9" t="s">
        <v>16</v>
      </c>
    </row>
    <row r="10" spans="2:17" x14ac:dyDescent="0.25">
      <c r="B10" s="4" t="s">
        <v>10</v>
      </c>
      <c r="C10" s="2" t="s">
        <v>217</v>
      </c>
      <c r="D10" s="5" t="s">
        <v>19</v>
      </c>
      <c r="E10" s="5" t="s">
        <v>15</v>
      </c>
    </row>
    <row r="15" spans="2:17" x14ac:dyDescent="0.25">
      <c r="D15" s="5" t="s">
        <v>30</v>
      </c>
      <c r="E15" s="5" t="s">
        <v>31</v>
      </c>
      <c r="L15" t="s">
        <v>36</v>
      </c>
      <c r="M15" t="s">
        <v>37</v>
      </c>
      <c r="N15" t="s">
        <v>38</v>
      </c>
      <c r="O15" t="s">
        <v>39</v>
      </c>
    </row>
    <row r="16" spans="2:17" x14ac:dyDescent="0.25">
      <c r="D16" s="6" t="s">
        <v>33</v>
      </c>
      <c r="E16" s="5" t="s">
        <v>6</v>
      </c>
      <c r="K16" t="s">
        <v>40</v>
      </c>
    </row>
    <row r="17" spans="4:14" x14ac:dyDescent="0.25">
      <c r="D17" s="6" t="s">
        <v>32</v>
      </c>
      <c r="E17" s="5" t="s">
        <v>8</v>
      </c>
      <c r="K17" t="s">
        <v>41</v>
      </c>
    </row>
    <row r="18" spans="4:14" x14ac:dyDescent="0.25">
      <c r="D18" s="6" t="s">
        <v>34</v>
      </c>
      <c r="E18" s="5" t="s">
        <v>6</v>
      </c>
      <c r="K18" t="s">
        <v>42</v>
      </c>
    </row>
    <row r="19" spans="4:14" x14ac:dyDescent="0.25">
      <c r="D19" s="6" t="s">
        <v>35</v>
      </c>
      <c r="E19" s="5" t="s">
        <v>8</v>
      </c>
      <c r="K19" t="s">
        <v>43</v>
      </c>
    </row>
    <row r="22" spans="4:14" x14ac:dyDescent="0.25">
      <c r="E22" s="5" t="s">
        <v>221</v>
      </c>
    </row>
    <row r="23" spans="4:14" x14ac:dyDescent="0.25">
      <c r="D23" s="5" t="s">
        <v>220</v>
      </c>
      <c r="E23" s="5" t="s">
        <v>222</v>
      </c>
      <c r="L23" t="s">
        <v>26</v>
      </c>
    </row>
    <row r="24" spans="4:14" x14ac:dyDescent="0.25">
      <c r="D24" s="5" t="s">
        <v>231</v>
      </c>
      <c r="E24" s="5" t="s">
        <v>223</v>
      </c>
      <c r="L24" t="s">
        <v>25</v>
      </c>
    </row>
    <row r="25" spans="4:14" x14ac:dyDescent="0.25">
      <c r="D25" s="5" t="s">
        <v>230</v>
      </c>
      <c r="E25" s="5" t="s">
        <v>223</v>
      </c>
    </row>
    <row r="26" spans="4:14" x14ac:dyDescent="0.25">
      <c r="D26" s="5" t="s">
        <v>229</v>
      </c>
      <c r="E26" s="5" t="s">
        <v>28</v>
      </c>
      <c r="L26" t="s">
        <v>27</v>
      </c>
    </row>
    <row r="27" spans="4:14" x14ac:dyDescent="0.25">
      <c r="D27" s="5" t="s">
        <v>224</v>
      </c>
      <c r="E27" s="5" t="s">
        <v>225</v>
      </c>
      <c r="L27" t="s">
        <v>28</v>
      </c>
    </row>
    <row r="28" spans="4:14" x14ac:dyDescent="0.25">
      <c r="D28" s="5" t="s">
        <v>226</v>
      </c>
    </row>
    <row r="29" spans="4:14" x14ac:dyDescent="0.25">
      <c r="D29" s="5" t="s">
        <v>227</v>
      </c>
      <c r="L29" t="s">
        <v>49</v>
      </c>
      <c r="M29" t="s">
        <v>50</v>
      </c>
      <c r="N29" t="s">
        <v>51</v>
      </c>
    </row>
    <row r="30" spans="4:14" x14ac:dyDescent="0.25">
      <c r="D30" s="5" t="s">
        <v>228</v>
      </c>
    </row>
    <row r="31" spans="4:14" x14ac:dyDescent="0.25">
      <c r="J31" s="11" t="s">
        <v>52</v>
      </c>
      <c r="K31" s="11"/>
      <c r="L31" s="11" t="s">
        <v>61</v>
      </c>
      <c r="M31" s="11" t="s">
        <v>26</v>
      </c>
      <c r="N31" s="11"/>
    </row>
    <row r="32" spans="4:14" x14ac:dyDescent="0.25">
      <c r="J32" s="8" t="s">
        <v>53</v>
      </c>
      <c r="K32" s="8"/>
      <c r="L32" s="8" t="s">
        <v>28</v>
      </c>
      <c r="M32" s="8"/>
      <c r="N32" s="8"/>
    </row>
    <row r="33" spans="6:14" x14ac:dyDescent="0.25">
      <c r="K33" t="s">
        <v>44</v>
      </c>
      <c r="L33" s="7"/>
      <c r="M33" s="7"/>
      <c r="N33" s="7"/>
    </row>
    <row r="34" spans="6:14" x14ac:dyDescent="0.25">
      <c r="K34" t="s">
        <v>45</v>
      </c>
      <c r="L34" s="7"/>
      <c r="M34" s="7"/>
      <c r="N34" s="7"/>
    </row>
    <row r="35" spans="6:14" x14ac:dyDescent="0.25">
      <c r="K35" t="s">
        <v>46</v>
      </c>
      <c r="L35" s="7"/>
      <c r="M35" s="7"/>
      <c r="N35" s="7"/>
    </row>
    <row r="36" spans="6:14" x14ac:dyDescent="0.25">
      <c r="K36" t="s">
        <v>47</v>
      </c>
      <c r="L36" s="9"/>
      <c r="M36" s="7"/>
      <c r="N36" s="7"/>
    </row>
    <row r="37" spans="6:14" x14ac:dyDescent="0.25">
      <c r="K37" t="s">
        <v>48</v>
      </c>
      <c r="L37" s="7"/>
      <c r="M37" s="7"/>
      <c r="N37" s="7"/>
    </row>
    <row r="38" spans="6:14" x14ac:dyDescent="0.25">
      <c r="K38" t="s">
        <v>54</v>
      </c>
      <c r="L38" s="7"/>
      <c r="M38" s="7"/>
      <c r="N38" s="7"/>
    </row>
    <row r="39" spans="6:14" x14ac:dyDescent="0.25">
      <c r="K39" t="s">
        <v>55</v>
      </c>
      <c r="L39" s="7"/>
    </row>
    <row r="43" spans="6:14" x14ac:dyDescent="0.25">
      <c r="L43" t="s">
        <v>49</v>
      </c>
      <c r="M43" t="s">
        <v>50</v>
      </c>
      <c r="N43" t="s">
        <v>51</v>
      </c>
    </row>
    <row r="44" spans="6:14" x14ac:dyDescent="0.25">
      <c r="F44" t="s">
        <v>56</v>
      </c>
      <c r="L44" t="s">
        <v>25</v>
      </c>
      <c r="M44" t="s">
        <v>27</v>
      </c>
      <c r="N44" t="s">
        <v>28</v>
      </c>
    </row>
    <row r="46" spans="6:14" x14ac:dyDescent="0.25">
      <c r="J46" t="s">
        <v>57</v>
      </c>
      <c r="L46" t="s">
        <v>26</v>
      </c>
    </row>
    <row r="47" spans="6:14" x14ac:dyDescent="0.25">
      <c r="K47" t="s">
        <v>58</v>
      </c>
      <c r="L47" t="s">
        <v>26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BAE6-55BB-4A53-9A05-AC20D5227B7C}">
  <dimension ref="A3:AD54"/>
  <sheetViews>
    <sheetView zoomScale="175" zoomScaleNormal="175" workbookViewId="0">
      <selection activeCell="A3" sqref="A3:XFD3"/>
    </sheetView>
  </sheetViews>
  <sheetFormatPr defaultRowHeight="12.75" x14ac:dyDescent="0.25"/>
  <cols>
    <col min="1" max="1" width="15.83203125" customWidth="1"/>
    <col min="2" max="2" width="15.6640625" customWidth="1"/>
    <col min="3" max="23" width="8.83203125" customWidth="1"/>
  </cols>
  <sheetData>
    <row r="3" spans="1:22" x14ac:dyDescent="0.25">
      <c r="C3" s="35"/>
      <c r="D3" s="35"/>
      <c r="E3" s="35"/>
      <c r="F3" s="35"/>
      <c r="G3" s="35"/>
      <c r="H3" s="35"/>
      <c r="I3" s="35"/>
    </row>
    <row r="4" spans="1:22" x14ac:dyDescent="0.25">
      <c r="A4" t="s">
        <v>84</v>
      </c>
      <c r="B4" t="s">
        <v>69</v>
      </c>
      <c r="C4" s="12">
        <v>45931</v>
      </c>
      <c r="D4" s="12">
        <v>45962</v>
      </c>
      <c r="E4" s="12">
        <v>45992</v>
      </c>
      <c r="F4" s="13" t="s">
        <v>67</v>
      </c>
      <c r="G4" s="14" t="s">
        <v>86</v>
      </c>
      <c r="H4" s="12">
        <v>46023</v>
      </c>
      <c r="I4" s="12">
        <v>46054</v>
      </c>
      <c r="J4" s="34">
        <v>46082</v>
      </c>
      <c r="K4" s="12">
        <v>46113</v>
      </c>
      <c r="L4" s="12">
        <v>46143</v>
      </c>
      <c r="M4" s="12">
        <v>46174</v>
      </c>
      <c r="N4" s="12">
        <v>46204</v>
      </c>
      <c r="O4" s="12">
        <v>46235</v>
      </c>
      <c r="P4" s="12">
        <v>46266</v>
      </c>
      <c r="Q4" s="12">
        <v>46296</v>
      </c>
      <c r="R4" s="12">
        <v>46327</v>
      </c>
      <c r="S4" s="12">
        <v>46357</v>
      </c>
      <c r="T4" s="2" t="s">
        <v>74</v>
      </c>
      <c r="U4" s="11" t="s">
        <v>85</v>
      </c>
    </row>
    <row r="5" spans="1:22" x14ac:dyDescent="0.25">
      <c r="B5" t="s">
        <v>87</v>
      </c>
      <c r="C5">
        <v>10</v>
      </c>
      <c r="D5">
        <v>12</v>
      </c>
      <c r="E5">
        <v>13</v>
      </c>
      <c r="F5">
        <f>AVERAGE(C5:E5)</f>
        <v>11.666666666666666</v>
      </c>
      <c r="G5">
        <f>AVERAGE(C5:E5)</f>
        <v>11.666666666666666</v>
      </c>
    </row>
    <row r="6" spans="1:22" x14ac:dyDescent="0.25">
      <c r="B6" t="s">
        <v>88</v>
      </c>
      <c r="C6">
        <v>4</v>
      </c>
      <c r="D6">
        <v>5</v>
      </c>
      <c r="E6">
        <v>7</v>
      </c>
      <c r="F6">
        <f xml:space="preserve"> MIN(C6:E6)</f>
        <v>4</v>
      </c>
      <c r="G6">
        <f>MIN(C6:E6)</f>
        <v>4</v>
      </c>
    </row>
    <row r="8" spans="1:22" x14ac:dyDescent="0.25">
      <c r="A8" t="s">
        <v>80</v>
      </c>
      <c r="B8" t="s">
        <v>69</v>
      </c>
      <c r="C8" s="12">
        <v>45931</v>
      </c>
      <c r="D8" s="12">
        <v>45962</v>
      </c>
      <c r="E8" s="12">
        <v>45992</v>
      </c>
      <c r="F8" s="14" t="s">
        <v>62</v>
      </c>
      <c r="G8" s="14" t="s">
        <v>64</v>
      </c>
      <c r="H8" s="13" t="s">
        <v>67</v>
      </c>
      <c r="I8" s="12">
        <v>46023</v>
      </c>
      <c r="J8" s="12">
        <v>46054</v>
      </c>
      <c r="K8" s="12">
        <v>46082</v>
      </c>
      <c r="L8" s="12" t="s">
        <v>63</v>
      </c>
      <c r="M8" s="12">
        <v>46113</v>
      </c>
      <c r="N8" s="12">
        <v>46143</v>
      </c>
      <c r="O8" s="12">
        <v>46174</v>
      </c>
      <c r="P8" s="12" t="s">
        <v>66</v>
      </c>
      <c r="Q8" s="12" t="s">
        <v>65</v>
      </c>
      <c r="R8" s="12">
        <v>46204</v>
      </c>
      <c r="S8" s="12">
        <v>46235</v>
      </c>
      <c r="T8" s="12">
        <v>46266</v>
      </c>
      <c r="U8" s="12">
        <v>46296</v>
      </c>
    </row>
    <row r="9" spans="1:22" x14ac:dyDescent="0.25">
      <c r="B9" t="s">
        <v>87</v>
      </c>
      <c r="F9" s="11">
        <f xml:space="preserve"> SUM(C9:E9)</f>
        <v>0</v>
      </c>
      <c r="G9" s="11"/>
      <c r="H9" s="2"/>
    </row>
    <row r="11" spans="1:22" s="15" customFormat="1" x14ac:dyDescent="0.25">
      <c r="A11" t="s">
        <v>80</v>
      </c>
      <c r="B11" s="15" t="s">
        <v>70</v>
      </c>
      <c r="C11" s="15" t="s">
        <v>62</v>
      </c>
      <c r="D11" s="16" t="s">
        <v>64</v>
      </c>
      <c r="E11" s="2" t="s">
        <v>67</v>
      </c>
      <c r="F11" s="15" t="s">
        <v>63</v>
      </c>
      <c r="G11" s="15" t="s">
        <v>66</v>
      </c>
      <c r="H11" s="16" t="s">
        <v>65</v>
      </c>
      <c r="I11" s="15" t="s">
        <v>71</v>
      </c>
      <c r="J11" s="15" t="s">
        <v>72</v>
      </c>
      <c r="K11" s="16" t="s">
        <v>73</v>
      </c>
      <c r="L11" s="2" t="s">
        <v>74</v>
      </c>
    </row>
    <row r="12" spans="1:22" x14ac:dyDescent="0.25">
      <c r="B12" t="s">
        <v>87</v>
      </c>
      <c r="C12">
        <v>250</v>
      </c>
      <c r="D12">
        <f xml:space="preserve"> SUM(C12)</f>
        <v>250</v>
      </c>
      <c r="E12">
        <f>SUM(C12)</f>
        <v>250</v>
      </c>
      <c r="F12">
        <v>500</v>
      </c>
      <c r="G12">
        <v>600</v>
      </c>
      <c r="H12">
        <f>SUM(F12:G12)</f>
        <v>1100</v>
      </c>
    </row>
    <row r="14" spans="1:22" x14ac:dyDescent="0.25">
      <c r="A14" t="s">
        <v>80</v>
      </c>
      <c r="C14" s="12">
        <v>45901</v>
      </c>
      <c r="D14" s="14" t="s">
        <v>68</v>
      </c>
      <c r="E14" s="12">
        <v>45931</v>
      </c>
      <c r="F14" s="12">
        <v>45962</v>
      </c>
      <c r="G14" s="12">
        <v>45992</v>
      </c>
      <c r="H14" s="14" t="s">
        <v>62</v>
      </c>
      <c r="I14" s="14" t="s">
        <v>64</v>
      </c>
      <c r="J14" s="13" t="s">
        <v>67</v>
      </c>
      <c r="K14" s="12">
        <v>46023</v>
      </c>
      <c r="L14" s="12">
        <v>46054</v>
      </c>
      <c r="M14" s="12">
        <v>46082</v>
      </c>
      <c r="N14" s="12" t="s">
        <v>63</v>
      </c>
      <c r="O14" s="12">
        <v>46113</v>
      </c>
      <c r="P14" s="12">
        <v>46143</v>
      </c>
      <c r="Q14" s="12">
        <v>46174</v>
      </c>
      <c r="R14" s="12" t="s">
        <v>66</v>
      </c>
      <c r="S14" s="12" t="s">
        <v>65</v>
      </c>
      <c r="T14" s="12">
        <v>46204</v>
      </c>
      <c r="U14" s="12">
        <v>46235</v>
      </c>
      <c r="V14" s="12">
        <v>46266</v>
      </c>
    </row>
    <row r="17" spans="1:30" x14ac:dyDescent="0.25">
      <c r="A17" t="s">
        <v>81</v>
      </c>
      <c r="B17" t="s">
        <v>75</v>
      </c>
      <c r="C17" s="12">
        <v>45922</v>
      </c>
      <c r="D17" s="12">
        <v>45929</v>
      </c>
      <c r="E17" s="13" t="s">
        <v>76</v>
      </c>
      <c r="F17" s="14" t="s">
        <v>68</v>
      </c>
      <c r="G17" s="12">
        <v>45936</v>
      </c>
      <c r="H17" s="12">
        <v>45943</v>
      </c>
      <c r="I17" s="12">
        <v>45950</v>
      </c>
      <c r="J17" s="12">
        <v>45957</v>
      </c>
      <c r="K17" s="13" t="s">
        <v>77</v>
      </c>
      <c r="L17" s="12">
        <v>45964</v>
      </c>
      <c r="M17" s="12">
        <v>45971</v>
      </c>
      <c r="N17" s="12">
        <v>45978</v>
      </c>
      <c r="O17" s="12">
        <v>45985</v>
      </c>
      <c r="P17" s="13" t="s">
        <v>78</v>
      </c>
      <c r="Q17" s="12">
        <v>45992</v>
      </c>
      <c r="R17" s="12">
        <v>45999</v>
      </c>
      <c r="S17" s="12">
        <v>46006</v>
      </c>
      <c r="T17" s="12">
        <v>46013</v>
      </c>
      <c r="U17" s="12">
        <v>46020</v>
      </c>
      <c r="V17" s="13" t="s">
        <v>79</v>
      </c>
      <c r="W17" s="14" t="s">
        <v>62</v>
      </c>
      <c r="X17" s="14" t="s">
        <v>64</v>
      </c>
      <c r="Y17" s="13" t="s">
        <v>67</v>
      </c>
      <c r="Z17" s="12">
        <v>46027</v>
      </c>
    </row>
    <row r="19" spans="1:30" x14ac:dyDescent="0.25">
      <c r="A19" t="s">
        <v>81</v>
      </c>
      <c r="B19" t="s">
        <v>75</v>
      </c>
      <c r="C19" s="12">
        <v>45922</v>
      </c>
      <c r="D19" s="12">
        <v>45929</v>
      </c>
      <c r="E19" s="12">
        <v>45936</v>
      </c>
      <c r="F19" s="12">
        <v>45943</v>
      </c>
      <c r="G19" s="13"/>
      <c r="H19" s="12">
        <v>45950</v>
      </c>
      <c r="I19" s="12">
        <v>45957</v>
      </c>
      <c r="J19" s="12">
        <v>45964</v>
      </c>
      <c r="K19" s="12">
        <v>45971</v>
      </c>
      <c r="L19" s="13"/>
      <c r="M19" s="12">
        <v>45978</v>
      </c>
      <c r="N19" s="12">
        <v>45985</v>
      </c>
      <c r="O19" s="12">
        <v>45992</v>
      </c>
      <c r="P19" s="12">
        <v>45999</v>
      </c>
      <c r="Q19" s="13"/>
      <c r="R19" s="12">
        <v>46006</v>
      </c>
      <c r="S19" s="12">
        <v>46013</v>
      </c>
      <c r="T19" s="12">
        <v>46020</v>
      </c>
      <c r="U19" s="12">
        <v>46027</v>
      </c>
      <c r="V19" s="13"/>
      <c r="W19" s="12">
        <v>46034</v>
      </c>
      <c r="X19" s="12">
        <v>46041</v>
      </c>
      <c r="Y19" s="12">
        <v>46048</v>
      </c>
      <c r="Z19" s="12">
        <v>46055</v>
      </c>
      <c r="AA19" s="13"/>
      <c r="AB19" s="12"/>
      <c r="AC19" s="12"/>
      <c r="AD19" s="12"/>
    </row>
    <row r="22" spans="1:30" x14ac:dyDescent="0.25">
      <c r="A22" t="s">
        <v>82</v>
      </c>
      <c r="B22" t="s">
        <v>83</v>
      </c>
      <c r="C22" s="12">
        <v>45922</v>
      </c>
      <c r="D22" s="14" t="s">
        <v>68</v>
      </c>
      <c r="E22" s="12">
        <v>45950</v>
      </c>
      <c r="F22" s="12">
        <v>45978</v>
      </c>
      <c r="G22" s="12">
        <v>46006</v>
      </c>
      <c r="H22" s="14" t="s">
        <v>62</v>
      </c>
      <c r="I22" s="14" t="s">
        <v>64</v>
      </c>
      <c r="J22" s="13" t="s">
        <v>67</v>
      </c>
      <c r="K22" s="12">
        <v>46034</v>
      </c>
      <c r="L22" s="12">
        <v>46062</v>
      </c>
      <c r="M22" s="12">
        <v>46090</v>
      </c>
      <c r="N22" s="14" t="s">
        <v>63</v>
      </c>
      <c r="O22" s="12">
        <v>46118</v>
      </c>
      <c r="P22" s="12">
        <v>46146</v>
      </c>
      <c r="Q22" s="12">
        <v>46174</v>
      </c>
      <c r="R22" s="12">
        <v>46202</v>
      </c>
      <c r="S22" s="14" t="s">
        <v>66</v>
      </c>
      <c r="T22" s="12">
        <v>46230</v>
      </c>
      <c r="U22" s="12">
        <v>46258</v>
      </c>
      <c r="V22" s="12">
        <v>46286</v>
      </c>
    </row>
    <row r="25" spans="1:30" x14ac:dyDescent="0.25">
      <c r="C25" t="s">
        <v>111</v>
      </c>
      <c r="D25" t="s">
        <v>112</v>
      </c>
      <c r="E25" t="s">
        <v>113</v>
      </c>
      <c r="F25" s="17" t="s">
        <v>114</v>
      </c>
      <c r="G25" t="s">
        <v>116</v>
      </c>
      <c r="H25" t="s">
        <v>117</v>
      </c>
      <c r="I25" t="s">
        <v>118</v>
      </c>
      <c r="J25" s="17" t="s">
        <v>124</v>
      </c>
      <c r="K25" s="18" t="s">
        <v>125</v>
      </c>
      <c r="L25" t="s">
        <v>119</v>
      </c>
      <c r="M25" t="s">
        <v>120</v>
      </c>
      <c r="N25" t="s">
        <v>121</v>
      </c>
      <c r="O25" s="17" t="s">
        <v>126</v>
      </c>
      <c r="P25" t="s">
        <v>122</v>
      </c>
      <c r="Q25" t="s">
        <v>123</v>
      </c>
      <c r="R25" t="s">
        <v>127</v>
      </c>
      <c r="S25" s="17" t="s">
        <v>126</v>
      </c>
      <c r="T25" s="18" t="s">
        <v>128</v>
      </c>
      <c r="U25" s="2" t="s">
        <v>115</v>
      </c>
      <c r="AB25" t="s">
        <v>129</v>
      </c>
    </row>
    <row r="26" spans="1:30" x14ac:dyDescent="0.25">
      <c r="A26" t="s">
        <v>130</v>
      </c>
      <c r="B26" t="s">
        <v>87</v>
      </c>
      <c r="C26">
        <v>10</v>
      </c>
      <c r="D26">
        <v>12</v>
      </c>
      <c r="E26">
        <v>15</v>
      </c>
      <c r="F26" s="17">
        <f xml:space="preserve"> AVERAGE(C26:E26)</f>
        <v>12.333333333333334</v>
      </c>
      <c r="G26">
        <v>10</v>
      </c>
      <c r="H26">
        <v>10</v>
      </c>
      <c r="I26">
        <v>10</v>
      </c>
      <c r="J26" s="17">
        <f xml:space="preserve"> AVERAGE(G26:I26)</f>
        <v>10</v>
      </c>
      <c r="K26" s="18">
        <f xml:space="preserve"> AVERAGE(F26,J26)</f>
        <v>11.166666666666668</v>
      </c>
      <c r="L26">
        <v>15</v>
      </c>
      <c r="M26">
        <v>15</v>
      </c>
      <c r="N26">
        <v>20</v>
      </c>
      <c r="O26" s="17">
        <f xml:space="preserve"> AVERAGE(L26:N26)</f>
        <v>16.666666666666668</v>
      </c>
      <c r="P26">
        <v>20</v>
      </c>
      <c r="Q26">
        <v>20</v>
      </c>
      <c r="R26">
        <v>20</v>
      </c>
      <c r="S26" s="17">
        <f xml:space="preserve"> AVERAGE(P26:R26)</f>
        <v>20</v>
      </c>
      <c r="T26" s="19">
        <f xml:space="preserve"> AVERAGE(O26,S26)</f>
        <v>18.333333333333336</v>
      </c>
      <c r="U26" s="3">
        <f xml:space="preserve"> AVERAGE(K26,T26)</f>
        <v>14.750000000000002</v>
      </c>
      <c r="AB26" s="20">
        <f xml:space="preserve"> AVERAGE(U26,Y26,AA26)</f>
        <v>14.750000000000002</v>
      </c>
    </row>
    <row r="27" spans="1:30" x14ac:dyDescent="0.25">
      <c r="A27" t="s">
        <v>130</v>
      </c>
      <c r="B27" t="s">
        <v>88</v>
      </c>
      <c r="C27">
        <v>10</v>
      </c>
      <c r="D27">
        <v>12</v>
      </c>
      <c r="E27">
        <v>15</v>
      </c>
      <c r="F27" s="17">
        <f xml:space="preserve"> MIN(C27:E27)</f>
        <v>10</v>
      </c>
      <c r="G27">
        <v>1</v>
      </c>
      <c r="H27">
        <v>2</v>
      </c>
      <c r="I27">
        <v>1</v>
      </c>
      <c r="J27" s="17">
        <f xml:space="preserve"> MIN(G27:I27)</f>
        <v>1</v>
      </c>
      <c r="K27" s="18">
        <f xml:space="preserve"> MIN(F27,J27)</f>
        <v>1</v>
      </c>
      <c r="O27" s="17"/>
      <c r="S27" s="17"/>
      <c r="T27" s="18"/>
      <c r="U27" s="2"/>
    </row>
    <row r="28" spans="1:30" x14ac:dyDescent="0.25">
      <c r="F28" s="11"/>
      <c r="J28" s="11"/>
      <c r="K28" s="18"/>
      <c r="O28" s="11"/>
    </row>
    <row r="29" spans="1:30" x14ac:dyDescent="0.25">
      <c r="A29" t="s">
        <v>131</v>
      </c>
      <c r="B29" t="s">
        <v>87</v>
      </c>
      <c r="F29" s="11"/>
      <c r="J29" s="11"/>
      <c r="K29" s="18"/>
      <c r="O29" s="11"/>
    </row>
    <row r="30" spans="1:30" x14ac:dyDescent="0.25">
      <c r="A30" t="s">
        <v>131</v>
      </c>
      <c r="B30" t="s">
        <v>88</v>
      </c>
      <c r="F30" s="11"/>
      <c r="J30" s="11"/>
      <c r="K30" s="18"/>
      <c r="O30" s="11"/>
    </row>
    <row r="32" spans="1:30" x14ac:dyDescent="0.25">
      <c r="A32" s="1" t="s">
        <v>129</v>
      </c>
      <c r="B32" s="1" t="s">
        <v>87</v>
      </c>
      <c r="C32" s="1">
        <f xml:space="preserve"> SUM(C29,C26)</f>
        <v>10</v>
      </c>
      <c r="D32" s="1">
        <f t="shared" ref="D32:U32" si="0" xml:space="preserve"> SUM(D29,D26)</f>
        <v>12</v>
      </c>
      <c r="E32" s="1">
        <f t="shared" si="0"/>
        <v>15</v>
      </c>
      <c r="F32" s="1">
        <f t="shared" si="0"/>
        <v>12.333333333333334</v>
      </c>
      <c r="G32" s="1">
        <f t="shared" si="0"/>
        <v>10</v>
      </c>
      <c r="H32" s="1">
        <f t="shared" si="0"/>
        <v>10</v>
      </c>
      <c r="I32" s="1">
        <f t="shared" si="0"/>
        <v>10</v>
      </c>
      <c r="J32" s="1">
        <f t="shared" si="0"/>
        <v>10</v>
      </c>
      <c r="K32" s="1">
        <f t="shared" si="0"/>
        <v>11.166666666666668</v>
      </c>
      <c r="L32" s="1">
        <f t="shared" si="0"/>
        <v>15</v>
      </c>
      <c r="M32" s="1">
        <f t="shared" si="0"/>
        <v>15</v>
      </c>
      <c r="N32" s="1">
        <f t="shared" si="0"/>
        <v>20</v>
      </c>
      <c r="O32" s="1">
        <f t="shared" si="0"/>
        <v>16.666666666666668</v>
      </c>
      <c r="P32" s="1">
        <f t="shared" si="0"/>
        <v>20</v>
      </c>
      <c r="Q32" s="1">
        <f t="shared" si="0"/>
        <v>20</v>
      </c>
      <c r="R32" s="1">
        <f t="shared" si="0"/>
        <v>20</v>
      </c>
      <c r="S32" s="1">
        <f t="shared" si="0"/>
        <v>20</v>
      </c>
      <c r="T32" s="1">
        <f t="shared" si="0"/>
        <v>18.333333333333336</v>
      </c>
      <c r="U32" s="1">
        <f t="shared" si="0"/>
        <v>14.750000000000002</v>
      </c>
    </row>
    <row r="33" spans="1:27" x14ac:dyDescent="0.25">
      <c r="A33" s="1"/>
      <c r="B33" s="1" t="s">
        <v>88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5" spans="1:27" x14ac:dyDescent="0.25">
      <c r="A35" s="1" t="s">
        <v>89</v>
      </c>
      <c r="B35" s="1" t="s">
        <v>97</v>
      </c>
      <c r="C35" s="1" t="s">
        <v>98</v>
      </c>
      <c r="D35" s="1" t="s">
        <v>108</v>
      </c>
    </row>
    <row r="36" spans="1:27" x14ac:dyDescent="0.25">
      <c r="A36" t="s">
        <v>90</v>
      </c>
      <c r="B36" t="s">
        <v>91</v>
      </c>
      <c r="C36" t="s">
        <v>91</v>
      </c>
      <c r="D36" t="s">
        <v>109</v>
      </c>
    </row>
    <row r="37" spans="1:27" x14ac:dyDescent="0.25">
      <c r="B37" t="s">
        <v>90</v>
      </c>
      <c r="C37" t="s">
        <v>95</v>
      </c>
      <c r="D37" t="s">
        <v>110</v>
      </c>
      <c r="G37" t="s">
        <v>105</v>
      </c>
    </row>
    <row r="38" spans="1:27" x14ac:dyDescent="0.25">
      <c r="B38" t="s">
        <v>92</v>
      </c>
      <c r="C38" t="s">
        <v>96</v>
      </c>
      <c r="G38" t="s">
        <v>68</v>
      </c>
      <c r="H38" t="s">
        <v>62</v>
      </c>
      <c r="I38" t="s">
        <v>63</v>
      </c>
      <c r="J38" t="s">
        <v>66</v>
      </c>
      <c r="K38" t="s">
        <v>71</v>
      </c>
      <c r="L38" t="s">
        <v>99</v>
      </c>
      <c r="M38" t="s">
        <v>103</v>
      </c>
      <c r="N38" t="s">
        <v>100</v>
      </c>
      <c r="O38" t="s">
        <v>104</v>
      </c>
    </row>
    <row r="39" spans="1:27" x14ac:dyDescent="0.25">
      <c r="C39" t="s">
        <v>90</v>
      </c>
      <c r="E39">
        <f xml:space="preserve"> 3*12</f>
        <v>36</v>
      </c>
      <c r="G39" s="12">
        <v>45931</v>
      </c>
      <c r="H39" s="12">
        <v>45962</v>
      </c>
      <c r="I39" s="12">
        <v>45992</v>
      </c>
      <c r="J39" s="12">
        <v>46023</v>
      </c>
      <c r="K39" s="12">
        <v>46054</v>
      </c>
      <c r="L39" s="12">
        <v>46082</v>
      </c>
      <c r="M39" s="12">
        <v>46113</v>
      </c>
      <c r="N39" s="12">
        <v>46143</v>
      </c>
      <c r="O39" s="12">
        <v>46174</v>
      </c>
      <c r="P39" s="12">
        <v>46204</v>
      </c>
      <c r="Q39" s="12">
        <v>46235</v>
      </c>
      <c r="R39" s="12">
        <v>46266</v>
      </c>
      <c r="S39" s="12">
        <v>46296</v>
      </c>
      <c r="T39" s="12">
        <v>46327</v>
      </c>
      <c r="U39" s="12">
        <v>46357</v>
      </c>
      <c r="V39" s="12">
        <v>46388</v>
      </c>
    </row>
    <row r="40" spans="1:27" x14ac:dyDescent="0.25">
      <c r="C40" t="s">
        <v>92</v>
      </c>
      <c r="E40">
        <f>365*3</f>
        <v>1095</v>
      </c>
      <c r="G40" s="12">
        <v>45931</v>
      </c>
      <c r="H40" s="12">
        <v>45932</v>
      </c>
      <c r="I40" s="12">
        <v>45933</v>
      </c>
      <c r="J40" s="12">
        <v>45934</v>
      </c>
      <c r="K40" s="12">
        <v>45935</v>
      </c>
      <c r="L40" s="12">
        <v>45936</v>
      </c>
      <c r="M40" s="12">
        <v>45937</v>
      </c>
      <c r="N40" s="12">
        <v>45938</v>
      </c>
      <c r="O40" s="12">
        <v>45939</v>
      </c>
      <c r="P40" s="12">
        <v>45940</v>
      </c>
      <c r="Q40" s="12">
        <v>45941</v>
      </c>
      <c r="R40" s="12">
        <v>45942</v>
      </c>
      <c r="S40" s="12">
        <v>45943</v>
      </c>
      <c r="T40" s="12">
        <v>45944</v>
      </c>
      <c r="U40" s="12">
        <v>45945</v>
      </c>
      <c r="V40" s="12">
        <v>45946</v>
      </c>
      <c r="W40" s="12">
        <v>45947</v>
      </c>
      <c r="X40" s="12">
        <v>45948</v>
      </c>
      <c r="Y40" s="12">
        <v>45949</v>
      </c>
      <c r="Z40" s="12">
        <v>45950</v>
      </c>
      <c r="AA40" s="12">
        <v>45951</v>
      </c>
    </row>
    <row r="42" spans="1:27" x14ac:dyDescent="0.25">
      <c r="A42" t="s">
        <v>106</v>
      </c>
      <c r="B42" t="s">
        <v>91</v>
      </c>
      <c r="C42" t="s">
        <v>91</v>
      </c>
    </row>
    <row r="43" spans="1:27" x14ac:dyDescent="0.25">
      <c r="B43" t="s">
        <v>90</v>
      </c>
      <c r="C43" t="s">
        <v>93</v>
      </c>
    </row>
    <row r="44" spans="1:27" x14ac:dyDescent="0.25">
      <c r="B44" t="s">
        <v>106</v>
      </c>
      <c r="C44" t="s">
        <v>94</v>
      </c>
    </row>
    <row r="45" spans="1:27" x14ac:dyDescent="0.25">
      <c r="B45" t="s">
        <v>92</v>
      </c>
      <c r="C45" t="s">
        <v>90</v>
      </c>
    </row>
    <row r="46" spans="1:27" x14ac:dyDescent="0.25">
      <c r="C46" t="s">
        <v>106</v>
      </c>
    </row>
    <row r="47" spans="1:27" x14ac:dyDescent="0.25">
      <c r="C47" t="s">
        <v>92</v>
      </c>
    </row>
    <row r="49" spans="1:3" x14ac:dyDescent="0.25">
      <c r="A49" s="7" t="s">
        <v>107</v>
      </c>
      <c r="B49" s="7" t="s">
        <v>91</v>
      </c>
      <c r="C49" s="7" t="s">
        <v>91</v>
      </c>
    </row>
    <row r="50" spans="1:3" x14ac:dyDescent="0.25">
      <c r="A50" s="7"/>
      <c r="B50" s="7" t="s">
        <v>107</v>
      </c>
      <c r="C50" s="7" t="s">
        <v>93</v>
      </c>
    </row>
    <row r="51" spans="1:3" x14ac:dyDescent="0.25">
      <c r="A51" s="7"/>
      <c r="B51" s="7" t="s">
        <v>106</v>
      </c>
      <c r="C51" s="7" t="s">
        <v>94</v>
      </c>
    </row>
    <row r="52" spans="1:3" x14ac:dyDescent="0.25">
      <c r="A52" s="7"/>
      <c r="B52" s="7" t="s">
        <v>92</v>
      </c>
      <c r="C52" s="7" t="s">
        <v>107</v>
      </c>
    </row>
    <row r="53" spans="1:3" x14ac:dyDescent="0.25">
      <c r="A53" s="7"/>
      <c r="B53" s="7"/>
      <c r="C53" s="7" t="s">
        <v>106</v>
      </c>
    </row>
    <row r="54" spans="1:3" x14ac:dyDescent="0.25">
      <c r="A54" s="7"/>
      <c r="B54" s="7"/>
      <c r="C54" s="7" t="s">
        <v>92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0EE4-67FB-4C0D-A125-460575AF5561}">
  <dimension ref="A1:F52"/>
  <sheetViews>
    <sheetView zoomScale="160" zoomScaleNormal="160" workbookViewId="0">
      <selection activeCell="K28" sqref="K28"/>
    </sheetView>
  </sheetViews>
  <sheetFormatPr defaultRowHeight="12.75" x14ac:dyDescent="0.25"/>
  <cols>
    <col min="1" max="1" width="26.6640625" customWidth="1"/>
    <col min="2" max="2" width="13" customWidth="1"/>
    <col min="5" max="5" width="22.1640625" customWidth="1"/>
    <col min="6" max="6" width="19.33203125" customWidth="1"/>
  </cols>
  <sheetData>
    <row r="1" spans="1:6" x14ac:dyDescent="0.25">
      <c r="F1" t="s">
        <v>216</v>
      </c>
    </row>
    <row r="2" spans="1:6" x14ac:dyDescent="0.25">
      <c r="A2" s="1" t="s">
        <v>162</v>
      </c>
      <c r="B2" s="1" t="s">
        <v>214</v>
      </c>
      <c r="E2" s="1" t="s">
        <v>213</v>
      </c>
      <c r="F2" s="1" t="s">
        <v>215</v>
      </c>
    </row>
    <row r="3" spans="1:6" s="30" customFormat="1" x14ac:dyDescent="0.25">
      <c r="A3" s="30" t="s">
        <v>163</v>
      </c>
      <c r="B3" s="30" t="s">
        <v>219</v>
      </c>
      <c r="E3" s="30" t="str">
        <f>A3</f>
        <v>Вася 1</v>
      </c>
      <c r="F3" s="30" t="s">
        <v>218</v>
      </c>
    </row>
    <row r="4" spans="1:6" s="31" customFormat="1" x14ac:dyDescent="0.25">
      <c r="A4" s="31" t="s">
        <v>164</v>
      </c>
      <c r="B4" s="31" t="s">
        <v>219</v>
      </c>
      <c r="E4" s="31" t="str">
        <f t="shared" ref="E4:E52" si="0">A4</f>
        <v>Вася 2</v>
      </c>
    </row>
    <row r="5" spans="1:6" s="30" customFormat="1" x14ac:dyDescent="0.25">
      <c r="A5" s="30" t="s">
        <v>165</v>
      </c>
      <c r="B5" s="30" t="s">
        <v>219</v>
      </c>
      <c r="E5" s="30" t="str">
        <f t="shared" si="0"/>
        <v>Вася 3</v>
      </c>
      <c r="F5" s="30" t="s">
        <v>218</v>
      </c>
    </row>
    <row r="6" spans="1:6" s="30" customFormat="1" x14ac:dyDescent="0.25">
      <c r="A6" s="30" t="s">
        <v>166</v>
      </c>
      <c r="B6" s="30" t="s">
        <v>219</v>
      </c>
      <c r="E6" s="30" t="str">
        <f t="shared" si="0"/>
        <v>Вася 4</v>
      </c>
      <c r="F6" s="30" t="s">
        <v>218</v>
      </c>
    </row>
    <row r="7" spans="1:6" s="30" customFormat="1" x14ac:dyDescent="0.25">
      <c r="A7" s="30" t="s">
        <v>167</v>
      </c>
      <c r="B7" s="30" t="s">
        <v>219</v>
      </c>
      <c r="E7" s="30" t="str">
        <f t="shared" si="0"/>
        <v>Вася 5</v>
      </c>
      <c r="F7" s="30" t="s">
        <v>218</v>
      </c>
    </row>
    <row r="8" spans="1:6" s="31" customFormat="1" x14ac:dyDescent="0.25">
      <c r="A8" s="31" t="s">
        <v>168</v>
      </c>
      <c r="B8" s="31" t="s">
        <v>219</v>
      </c>
      <c r="E8" s="31" t="str">
        <f t="shared" si="0"/>
        <v>Вася 6</v>
      </c>
    </row>
    <row r="9" spans="1:6" s="31" customFormat="1" x14ac:dyDescent="0.25">
      <c r="A9" s="31" t="s">
        <v>169</v>
      </c>
      <c r="B9" s="31" t="s">
        <v>219</v>
      </c>
      <c r="E9" s="31" t="str">
        <f t="shared" si="0"/>
        <v>Вася 7</v>
      </c>
    </row>
    <row r="10" spans="1:6" x14ac:dyDescent="0.25">
      <c r="A10" t="s">
        <v>170</v>
      </c>
      <c r="B10" t="s">
        <v>219</v>
      </c>
      <c r="E10" t="str">
        <f t="shared" si="0"/>
        <v>Вася 8</v>
      </c>
    </row>
    <row r="11" spans="1:6" x14ac:dyDescent="0.25">
      <c r="A11" t="s">
        <v>171</v>
      </c>
      <c r="B11" t="s">
        <v>219</v>
      </c>
      <c r="E11" t="str">
        <f t="shared" si="0"/>
        <v>Вася 9</v>
      </c>
    </row>
    <row r="12" spans="1:6" x14ac:dyDescent="0.25">
      <c r="A12" t="s">
        <v>172</v>
      </c>
      <c r="B12" t="s">
        <v>219</v>
      </c>
      <c r="E12" t="str">
        <f t="shared" si="0"/>
        <v>Вася 10</v>
      </c>
    </row>
    <row r="13" spans="1:6" s="30" customFormat="1" x14ac:dyDescent="0.25">
      <c r="A13" s="30" t="s">
        <v>173</v>
      </c>
      <c r="B13" s="30" t="s">
        <v>218</v>
      </c>
      <c r="E13" s="30" t="str">
        <f t="shared" si="0"/>
        <v>Вася 11</v>
      </c>
      <c r="F13" s="30" t="s">
        <v>217</v>
      </c>
    </row>
    <row r="14" spans="1:6" s="31" customFormat="1" x14ac:dyDescent="0.25">
      <c r="A14" s="31" t="s">
        <v>174</v>
      </c>
      <c r="B14" s="31" t="s">
        <v>218</v>
      </c>
      <c r="E14" s="31" t="str">
        <f t="shared" si="0"/>
        <v>Вася 12</v>
      </c>
    </row>
    <row r="15" spans="1:6" s="31" customFormat="1" x14ac:dyDescent="0.25">
      <c r="A15" s="31" t="s">
        <v>175</v>
      </c>
      <c r="B15" s="31" t="s">
        <v>218</v>
      </c>
      <c r="E15" s="31" t="str">
        <f t="shared" si="0"/>
        <v>Вася 13</v>
      </c>
    </row>
    <row r="16" spans="1:6" s="31" customFormat="1" x14ac:dyDescent="0.25">
      <c r="A16" s="31" t="s">
        <v>176</v>
      </c>
      <c r="B16" s="31" t="s">
        <v>218</v>
      </c>
      <c r="E16" s="31" t="str">
        <f t="shared" si="0"/>
        <v>Вася 14</v>
      </c>
    </row>
    <row r="17" spans="1:5" s="31" customFormat="1" x14ac:dyDescent="0.25">
      <c r="A17" s="31" t="s">
        <v>177</v>
      </c>
      <c r="B17" s="31" t="s">
        <v>218</v>
      </c>
      <c r="E17" s="31" t="str">
        <f t="shared" si="0"/>
        <v>Вася 15</v>
      </c>
    </row>
    <row r="18" spans="1:5" x14ac:dyDescent="0.25">
      <c r="A18" t="s">
        <v>178</v>
      </c>
      <c r="B18" t="s">
        <v>218</v>
      </c>
      <c r="E18" t="str">
        <f t="shared" si="0"/>
        <v>Вася 16</v>
      </c>
    </row>
    <row r="19" spans="1:5" x14ac:dyDescent="0.25">
      <c r="A19" t="s">
        <v>179</v>
      </c>
      <c r="B19" t="s">
        <v>218</v>
      </c>
      <c r="E19" t="str">
        <f t="shared" si="0"/>
        <v>Вася 17</v>
      </c>
    </row>
    <row r="20" spans="1:5" x14ac:dyDescent="0.25">
      <c r="A20" t="s">
        <v>180</v>
      </c>
      <c r="B20" t="s">
        <v>218</v>
      </c>
      <c r="E20" t="str">
        <f t="shared" si="0"/>
        <v>Вася 18</v>
      </c>
    </row>
    <row r="21" spans="1:5" x14ac:dyDescent="0.25">
      <c r="A21" t="s">
        <v>181</v>
      </c>
      <c r="B21" t="s">
        <v>218</v>
      </c>
      <c r="E21" t="str">
        <f t="shared" si="0"/>
        <v>Вася 19</v>
      </c>
    </row>
    <row r="22" spans="1:5" x14ac:dyDescent="0.25">
      <c r="A22" t="s">
        <v>182</v>
      </c>
      <c r="B22" t="s">
        <v>218</v>
      </c>
      <c r="E22" t="str">
        <f t="shared" si="0"/>
        <v>Вася 20</v>
      </c>
    </row>
    <row r="23" spans="1:5" x14ac:dyDescent="0.25">
      <c r="A23" t="s">
        <v>183</v>
      </c>
      <c r="B23" t="s">
        <v>218</v>
      </c>
      <c r="E23" t="str">
        <f t="shared" si="0"/>
        <v>Вася 21</v>
      </c>
    </row>
    <row r="24" spans="1:5" x14ac:dyDescent="0.25">
      <c r="A24" t="s">
        <v>184</v>
      </c>
      <c r="B24" t="s">
        <v>218</v>
      </c>
      <c r="E24" t="str">
        <f t="shared" si="0"/>
        <v>Вася 22</v>
      </c>
    </row>
    <row r="25" spans="1:5" x14ac:dyDescent="0.25">
      <c r="A25" t="s">
        <v>185</v>
      </c>
      <c r="B25" t="s">
        <v>218</v>
      </c>
      <c r="E25" t="str">
        <f t="shared" si="0"/>
        <v>Вася 23</v>
      </c>
    </row>
    <row r="26" spans="1:5" x14ac:dyDescent="0.25">
      <c r="A26" t="s">
        <v>186</v>
      </c>
      <c r="B26" t="s">
        <v>218</v>
      </c>
      <c r="E26" t="str">
        <f t="shared" si="0"/>
        <v>Вася 24</v>
      </c>
    </row>
    <row r="27" spans="1:5" x14ac:dyDescent="0.25">
      <c r="A27" t="s">
        <v>187</v>
      </c>
      <c r="B27" t="s">
        <v>218</v>
      </c>
      <c r="E27" t="str">
        <f t="shared" si="0"/>
        <v>Вася 25</v>
      </c>
    </row>
    <row r="28" spans="1:5" x14ac:dyDescent="0.25">
      <c r="A28" t="s">
        <v>188</v>
      </c>
      <c r="B28" t="s">
        <v>218</v>
      </c>
      <c r="E28" t="str">
        <f t="shared" si="0"/>
        <v>Вася 26</v>
      </c>
    </row>
    <row r="29" spans="1:5" x14ac:dyDescent="0.25">
      <c r="A29" t="s">
        <v>189</v>
      </c>
      <c r="B29" t="s">
        <v>218</v>
      </c>
      <c r="E29" t="str">
        <f t="shared" si="0"/>
        <v>Вася 27</v>
      </c>
    </row>
    <row r="30" spans="1:5" x14ac:dyDescent="0.25">
      <c r="A30" t="s">
        <v>190</v>
      </c>
      <c r="B30" t="s">
        <v>218</v>
      </c>
      <c r="E30" t="str">
        <f t="shared" si="0"/>
        <v>Вася 28</v>
      </c>
    </row>
    <row r="31" spans="1:5" x14ac:dyDescent="0.25">
      <c r="A31" t="s">
        <v>191</v>
      </c>
      <c r="B31" t="s">
        <v>218</v>
      </c>
      <c r="E31" t="str">
        <f t="shared" si="0"/>
        <v>Вася 29</v>
      </c>
    </row>
    <row r="32" spans="1:5" x14ac:dyDescent="0.25">
      <c r="A32" t="s">
        <v>192</v>
      </c>
      <c r="B32" t="s">
        <v>218</v>
      </c>
      <c r="E32" t="str">
        <f t="shared" si="0"/>
        <v>Вася 30</v>
      </c>
    </row>
    <row r="33" spans="1:5" x14ac:dyDescent="0.25">
      <c r="A33" t="s">
        <v>193</v>
      </c>
      <c r="B33" t="s">
        <v>218</v>
      </c>
      <c r="E33" t="str">
        <f t="shared" si="0"/>
        <v>Вася 31</v>
      </c>
    </row>
    <row r="34" spans="1:5" x14ac:dyDescent="0.25">
      <c r="A34" t="s">
        <v>194</v>
      </c>
      <c r="B34" t="s">
        <v>218</v>
      </c>
      <c r="E34" t="str">
        <f t="shared" si="0"/>
        <v>Вася 32</v>
      </c>
    </row>
    <row r="35" spans="1:5" x14ac:dyDescent="0.25">
      <c r="A35" t="s">
        <v>195</v>
      </c>
      <c r="B35" t="s">
        <v>218</v>
      </c>
      <c r="E35" t="str">
        <f t="shared" si="0"/>
        <v>Вася 33</v>
      </c>
    </row>
    <row r="36" spans="1:5" x14ac:dyDescent="0.25">
      <c r="A36" t="s">
        <v>196</v>
      </c>
      <c r="B36" t="s">
        <v>218</v>
      </c>
      <c r="E36" t="str">
        <f t="shared" si="0"/>
        <v>Вася 34</v>
      </c>
    </row>
    <row r="37" spans="1:5" x14ac:dyDescent="0.25">
      <c r="A37" t="s">
        <v>197</v>
      </c>
      <c r="B37" t="s">
        <v>218</v>
      </c>
      <c r="E37" t="str">
        <f t="shared" si="0"/>
        <v>Вася 35</v>
      </c>
    </row>
    <row r="38" spans="1:5" x14ac:dyDescent="0.25">
      <c r="A38" t="s">
        <v>198</v>
      </c>
      <c r="B38" t="s">
        <v>218</v>
      </c>
      <c r="E38" t="str">
        <f t="shared" si="0"/>
        <v>Вася 36</v>
      </c>
    </row>
    <row r="39" spans="1:5" x14ac:dyDescent="0.25">
      <c r="A39" t="s">
        <v>199</v>
      </c>
      <c r="B39" t="s">
        <v>218</v>
      </c>
      <c r="E39" t="str">
        <f t="shared" si="0"/>
        <v>Вася 37</v>
      </c>
    </row>
    <row r="40" spans="1:5" x14ac:dyDescent="0.25">
      <c r="A40" t="s">
        <v>200</v>
      </c>
      <c r="B40" t="s">
        <v>218</v>
      </c>
      <c r="E40" t="str">
        <f t="shared" si="0"/>
        <v>Вася 38</v>
      </c>
    </row>
    <row r="41" spans="1:5" x14ac:dyDescent="0.25">
      <c r="A41" t="s">
        <v>201</v>
      </c>
      <c r="B41" t="s">
        <v>218</v>
      </c>
      <c r="E41" t="str">
        <f t="shared" si="0"/>
        <v>Вася 39</v>
      </c>
    </row>
    <row r="42" spans="1:5" x14ac:dyDescent="0.25">
      <c r="A42" t="s">
        <v>202</v>
      </c>
      <c r="B42" t="s">
        <v>218</v>
      </c>
      <c r="E42" t="str">
        <f t="shared" si="0"/>
        <v>Вася 40</v>
      </c>
    </row>
    <row r="43" spans="1:5" x14ac:dyDescent="0.25">
      <c r="A43" t="s">
        <v>203</v>
      </c>
      <c r="B43" t="s">
        <v>218</v>
      </c>
      <c r="E43" t="str">
        <f t="shared" si="0"/>
        <v>Вася 41</v>
      </c>
    </row>
    <row r="44" spans="1:5" x14ac:dyDescent="0.25">
      <c r="A44" t="s">
        <v>204</v>
      </c>
      <c r="B44" t="s">
        <v>218</v>
      </c>
      <c r="E44" t="str">
        <f t="shared" si="0"/>
        <v>Вася 42</v>
      </c>
    </row>
    <row r="45" spans="1:5" x14ac:dyDescent="0.25">
      <c r="A45" t="s">
        <v>205</v>
      </c>
      <c r="B45" t="s">
        <v>218</v>
      </c>
      <c r="E45" t="str">
        <f t="shared" si="0"/>
        <v>Вася 43</v>
      </c>
    </row>
    <row r="46" spans="1:5" x14ac:dyDescent="0.25">
      <c r="A46" t="s">
        <v>206</v>
      </c>
      <c r="B46" t="s">
        <v>218</v>
      </c>
      <c r="E46" t="str">
        <f t="shared" si="0"/>
        <v>Вася 44</v>
      </c>
    </row>
    <row r="47" spans="1:5" x14ac:dyDescent="0.25">
      <c r="A47" t="s">
        <v>207</v>
      </c>
      <c r="B47" t="s">
        <v>218</v>
      </c>
      <c r="E47" t="str">
        <f t="shared" si="0"/>
        <v>Вася 45</v>
      </c>
    </row>
    <row r="48" spans="1:5" x14ac:dyDescent="0.25">
      <c r="A48" t="s">
        <v>208</v>
      </c>
      <c r="B48" t="s">
        <v>218</v>
      </c>
      <c r="E48" t="str">
        <f t="shared" si="0"/>
        <v>Вася 46</v>
      </c>
    </row>
    <row r="49" spans="1:5" x14ac:dyDescent="0.25">
      <c r="A49" t="s">
        <v>209</v>
      </c>
      <c r="B49" t="s">
        <v>218</v>
      </c>
      <c r="E49" t="str">
        <f t="shared" si="0"/>
        <v>Вася 47</v>
      </c>
    </row>
    <row r="50" spans="1:5" x14ac:dyDescent="0.25">
      <c r="A50" t="s">
        <v>210</v>
      </c>
      <c r="B50" t="s">
        <v>218</v>
      </c>
      <c r="E50" t="str">
        <f t="shared" si="0"/>
        <v>Вася 48</v>
      </c>
    </row>
    <row r="51" spans="1:5" x14ac:dyDescent="0.25">
      <c r="A51" t="s">
        <v>211</v>
      </c>
      <c r="B51" t="s">
        <v>218</v>
      </c>
      <c r="E51" t="str">
        <f t="shared" si="0"/>
        <v>Вася 49</v>
      </c>
    </row>
    <row r="52" spans="1:5" x14ac:dyDescent="0.25">
      <c r="A52" t="s">
        <v>212</v>
      </c>
      <c r="B52" t="s">
        <v>218</v>
      </c>
      <c r="E52" t="str">
        <f t="shared" si="0"/>
        <v>Вася 50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3E26-FDFD-4B1F-867C-AD72F544D576}">
  <dimension ref="A1:T146"/>
  <sheetViews>
    <sheetView tabSelected="1" zoomScale="130" zoomScaleNormal="130" workbookViewId="0">
      <selection activeCell="Q13" sqref="Q13"/>
    </sheetView>
  </sheetViews>
  <sheetFormatPr defaultRowHeight="13.5" x14ac:dyDescent="0.25"/>
  <cols>
    <col min="1" max="3" width="12.83203125" style="32" customWidth="1"/>
    <col min="4" max="4" width="12.83203125" style="22" customWidth="1"/>
    <col min="5" max="5" width="12.83203125" style="21" customWidth="1"/>
    <col min="6" max="7" width="30.83203125" style="21" customWidth="1"/>
    <col min="8" max="8" width="18.83203125" style="23" customWidth="1"/>
    <col min="9" max="9" width="18.83203125" style="27" customWidth="1"/>
    <col min="10" max="10" width="18.83203125" style="26" customWidth="1"/>
    <col min="11" max="11" width="18.83203125" style="21" customWidth="1"/>
    <col min="12" max="12" width="11" style="21" customWidth="1"/>
    <col min="13" max="15" width="9.33203125" style="21"/>
    <col min="16" max="18" width="12.83203125" style="29" customWidth="1"/>
    <col min="19" max="19" width="12.83203125" style="22" customWidth="1"/>
    <col min="20" max="20" width="12.83203125" style="21" customWidth="1"/>
    <col min="21" max="16384" width="9.33203125" style="21"/>
  </cols>
  <sheetData>
    <row r="1" spans="1:20" s="25" customFormat="1" ht="32.1" customHeight="1" x14ac:dyDescent="0.25">
      <c r="A1" s="44" t="s">
        <v>140</v>
      </c>
      <c r="B1" s="44" t="s">
        <v>139</v>
      </c>
      <c r="C1" s="44" t="s">
        <v>138</v>
      </c>
      <c r="D1" s="44" t="s">
        <v>150</v>
      </c>
      <c r="E1" s="43" t="s">
        <v>132</v>
      </c>
      <c r="F1" s="38" t="s">
        <v>134</v>
      </c>
      <c r="G1" s="38" t="s">
        <v>133</v>
      </c>
      <c r="H1" s="39" t="s">
        <v>147</v>
      </c>
      <c r="I1" s="40" t="s">
        <v>148</v>
      </c>
      <c r="J1" s="41" t="s">
        <v>149</v>
      </c>
      <c r="K1" s="42" t="s">
        <v>155</v>
      </c>
      <c r="L1" s="43" t="s">
        <v>236</v>
      </c>
      <c r="M1" s="25" t="s">
        <v>135</v>
      </c>
      <c r="P1" s="45" t="s">
        <v>140</v>
      </c>
      <c r="Q1" s="45" t="s">
        <v>139</v>
      </c>
      <c r="R1" s="45" t="s">
        <v>138</v>
      </c>
      <c r="S1" s="44" t="s">
        <v>150</v>
      </c>
      <c r="T1" s="43" t="s">
        <v>151</v>
      </c>
    </row>
    <row r="2" spans="1:20" x14ac:dyDescent="0.25">
      <c r="A2" s="32">
        <f xml:space="preserve"> _xlfn.XLOOKUP(cubProducts[[#This Row],[Month]], tblCalendar[[#Data],[Month]], tblCalendar[[#Data],[Year]])</f>
        <v>2025</v>
      </c>
      <c r="B2" s="32" t="str">
        <f xml:space="preserve"> _xlfn.XLOOKUP(cubProducts[[#This Row],[Month]], tblCalendar[[#Data],[Month]], tblCalendar[[#Data],[Half Year]])</f>
        <v>2025 H2</v>
      </c>
      <c r="C2" s="32" t="str">
        <f xml:space="preserve"> _xlfn.XLOOKUP(cubProducts[[#This Row],[Month]], tblCalendar[[#Data],[Month]], tblCalendar[[#Data],[Quarter]])</f>
        <v>2025 Q3</v>
      </c>
      <c r="D2" s="22">
        <v>45901</v>
      </c>
      <c r="F2" s="21" t="s">
        <v>136</v>
      </c>
      <c r="G2" s="21" t="s">
        <v>157</v>
      </c>
      <c r="H2" s="23">
        <f t="shared" ref="H2:H33" ca="1" si="0" xml:space="preserve"> RANDBETWEEN(0,200)</f>
        <v>14</v>
      </c>
      <c r="I2" s="27">
        <f t="shared" ref="I2:I51" ca="1" si="1" xml:space="preserve"> ROUNDUP(10 + RAND() * 500, 2)</f>
        <v>57.65</v>
      </c>
      <c r="J2" s="26">
        <f ca="1" xml:space="preserve"> RAND() * 100%</f>
        <v>0.33760178042104294</v>
      </c>
      <c r="K2" s="27">
        <f ca="1">cubProducts[[#This Row],[Средняя цена]]*cubProducts[[#This Row],[Продано]]*(100% - cubProducts[[#This Row],[Червивость]])</f>
        <v>534.62160302217626</v>
      </c>
      <c r="L2" s="21" t="s">
        <v>232</v>
      </c>
      <c r="P2" s="29">
        <v>2025</v>
      </c>
      <c r="Q2" s="29" t="s">
        <v>64</v>
      </c>
      <c r="R2" s="29" t="s">
        <v>68</v>
      </c>
      <c r="S2" s="22">
        <v>45901</v>
      </c>
    </row>
    <row r="3" spans="1:20" x14ac:dyDescent="0.25">
      <c r="A3" s="32">
        <f xml:space="preserve"> _xlfn.XLOOKUP(cubProducts[[#This Row],[Month]], tblCalendar[[#Data],[Month]], tblCalendar[[#Data],[Year]])</f>
        <v>2025</v>
      </c>
      <c r="B3" s="32" t="str">
        <f xml:space="preserve"> _xlfn.XLOOKUP(cubProducts[[#This Row],[Month]], tblCalendar[[#Data],[Month]], tblCalendar[[#Data],[Half Year]])</f>
        <v>2025 H2</v>
      </c>
      <c r="C3" s="32" t="str">
        <f xml:space="preserve"> _xlfn.XLOOKUP(cubProducts[[#This Row],[Month]], tblCalendar[[#Data],[Month]], tblCalendar[[#Data],[Quarter]])</f>
        <v>2025 Q3</v>
      </c>
      <c r="D3" s="22">
        <v>45901</v>
      </c>
      <c r="F3" s="21" t="s">
        <v>136</v>
      </c>
      <c r="G3" s="21" t="s">
        <v>158</v>
      </c>
      <c r="H3" s="23">
        <f t="shared" ca="1" si="0"/>
        <v>175</v>
      </c>
      <c r="I3" s="27">
        <f t="shared" ca="1" si="1"/>
        <v>32.239999999999995</v>
      </c>
      <c r="J3" s="26">
        <f t="shared" ref="J3:J33" ca="1" si="2" xml:space="preserve"> RAND() * 100%</f>
        <v>0.4062186358661275</v>
      </c>
      <c r="K3" s="27">
        <f ca="1">cubProducts[[#This Row],[Средняя цена]]*cubProducts[[#This Row],[Продано]]*(100% - cubProducts[[#This Row],[Червивость]])</f>
        <v>3350.114456443308</v>
      </c>
      <c r="L3" s="21" t="s">
        <v>232</v>
      </c>
      <c r="P3" s="29">
        <v>2025</v>
      </c>
      <c r="Q3" s="29" t="s">
        <v>64</v>
      </c>
      <c r="R3" s="29" t="s">
        <v>62</v>
      </c>
      <c r="S3" s="22">
        <v>45931</v>
      </c>
    </row>
    <row r="4" spans="1:20" x14ac:dyDescent="0.25">
      <c r="A4" s="32">
        <f xml:space="preserve"> _xlfn.XLOOKUP(cubProducts[[#This Row],[Month]], tblCalendar[[#Data],[Month]], tblCalendar[[#Data],[Year]])</f>
        <v>2025</v>
      </c>
      <c r="B4" s="32" t="str">
        <f xml:space="preserve"> _xlfn.XLOOKUP(cubProducts[[#This Row],[Month]], tblCalendar[[#Data],[Month]], tblCalendar[[#Data],[Half Year]])</f>
        <v>2025 H2</v>
      </c>
      <c r="C4" s="32" t="str">
        <f xml:space="preserve"> _xlfn.XLOOKUP(cubProducts[[#This Row],[Month]], tblCalendar[[#Data],[Month]], tblCalendar[[#Data],[Quarter]])</f>
        <v>2025 Q3</v>
      </c>
      <c r="D4" s="22">
        <v>45901</v>
      </c>
      <c r="F4" s="21" t="s">
        <v>136</v>
      </c>
      <c r="G4" s="21" t="s">
        <v>159</v>
      </c>
      <c r="H4" s="23">
        <f t="shared" ca="1" si="0"/>
        <v>60</v>
      </c>
      <c r="I4" s="27">
        <f t="shared" ca="1" si="1"/>
        <v>151.38999999999999</v>
      </c>
      <c r="J4" s="26">
        <f t="shared" ca="1" si="2"/>
        <v>9.4007431348758885E-2</v>
      </c>
      <c r="K4" s="27">
        <f ca="1">cubProducts[[#This Row],[Средняя цена]]*cubProducts[[#This Row],[Продано]]*(100% - cubProducts[[#This Row],[Червивость]])</f>
        <v>8229.4928980866825</v>
      </c>
      <c r="L4" s="21" t="s">
        <v>232</v>
      </c>
      <c r="P4" s="29">
        <v>2025</v>
      </c>
      <c r="Q4" s="29" t="s">
        <v>64</v>
      </c>
      <c r="R4" s="29" t="s">
        <v>62</v>
      </c>
      <c r="S4" s="22">
        <v>45962</v>
      </c>
    </row>
    <row r="5" spans="1:20" x14ac:dyDescent="0.25">
      <c r="A5" s="32">
        <f xml:space="preserve"> _xlfn.XLOOKUP(cubProducts[[#This Row],[Month]], tblCalendar[[#Data],[Month]], tblCalendar[[#Data],[Year]])</f>
        <v>2025</v>
      </c>
      <c r="B5" s="32" t="str">
        <f xml:space="preserve"> _xlfn.XLOOKUP(cubProducts[[#This Row],[Month]], tblCalendar[[#Data],[Month]], tblCalendar[[#Data],[Half Year]])</f>
        <v>2025 H2</v>
      </c>
      <c r="C5" s="32" t="str">
        <f xml:space="preserve"> _xlfn.XLOOKUP(cubProducts[[#This Row],[Month]], tblCalendar[[#Data],[Month]], tblCalendar[[#Data],[Quarter]])</f>
        <v>2025 Q3</v>
      </c>
      <c r="D5" s="22">
        <v>45901</v>
      </c>
      <c r="F5" s="21" t="s">
        <v>137</v>
      </c>
      <c r="G5" s="21" t="s">
        <v>160</v>
      </c>
      <c r="H5" s="23">
        <f t="shared" ca="1" si="0"/>
        <v>96</v>
      </c>
      <c r="I5" s="27">
        <f t="shared" ca="1" si="1"/>
        <v>214.63</v>
      </c>
      <c r="J5" s="26">
        <f t="shared" ca="1" si="2"/>
        <v>2.3782557159990891E-2</v>
      </c>
      <c r="K5" s="27">
        <f ca="1">cubProducts[[#This Row],[Средняя цена]]*cubProducts[[#This Row],[Продано]]*(100% - cubProducts[[#This Row],[Червивость]])</f>
        <v>20114.452776648111</v>
      </c>
      <c r="L5" s="21" t="s">
        <v>232</v>
      </c>
      <c r="P5" s="29">
        <v>2025</v>
      </c>
      <c r="Q5" s="29" t="s">
        <v>64</v>
      </c>
      <c r="R5" s="29" t="s">
        <v>62</v>
      </c>
      <c r="S5" s="22">
        <v>45992</v>
      </c>
    </row>
    <row r="6" spans="1:20" x14ac:dyDescent="0.25">
      <c r="A6" s="32">
        <f xml:space="preserve"> _xlfn.XLOOKUP(cubProducts[[#This Row],[Month]], tblCalendar[[#Data],[Month]], tblCalendar[[#Data],[Year]])</f>
        <v>2025</v>
      </c>
      <c r="B6" s="32" t="str">
        <f xml:space="preserve"> _xlfn.XLOOKUP(cubProducts[[#This Row],[Month]], tblCalendar[[#Data],[Month]], tblCalendar[[#Data],[Half Year]])</f>
        <v>2025 H2</v>
      </c>
      <c r="C6" s="32" t="str">
        <f xml:space="preserve"> _xlfn.XLOOKUP(cubProducts[[#This Row],[Month]], tblCalendar[[#Data],[Month]], tblCalendar[[#Data],[Quarter]])</f>
        <v>2025 Q3</v>
      </c>
      <c r="D6" s="22">
        <v>45901</v>
      </c>
      <c r="F6" s="21" t="s">
        <v>137</v>
      </c>
      <c r="G6" s="21" t="s">
        <v>161</v>
      </c>
      <c r="H6" s="23">
        <f t="shared" ca="1" si="0"/>
        <v>4</v>
      </c>
      <c r="I6" s="27">
        <f t="shared" ca="1" si="1"/>
        <v>259.38</v>
      </c>
      <c r="J6" s="26">
        <f t="shared" ca="1" si="2"/>
        <v>0.82896322475702022</v>
      </c>
      <c r="K6" s="27">
        <f ca="1">cubProducts[[#This Row],[Средняя цена]]*cubProducts[[#This Row],[Продано]]*(100% - cubProducts[[#This Row],[Червивость]])</f>
        <v>177.45407505009638</v>
      </c>
      <c r="L6" s="21" t="s">
        <v>232</v>
      </c>
      <c r="P6" s="29">
        <v>2026</v>
      </c>
      <c r="Q6" s="29" t="s">
        <v>65</v>
      </c>
      <c r="R6" s="29" t="s">
        <v>63</v>
      </c>
      <c r="S6" s="22">
        <v>46023</v>
      </c>
    </row>
    <row r="7" spans="1:20" x14ac:dyDescent="0.25">
      <c r="A7" s="32">
        <f xml:space="preserve"> _xlfn.XLOOKUP(cubProducts[[#This Row],[Month]], tblCalendar[[#Data],[Month]], tblCalendar[[#Data],[Year]])</f>
        <v>2025</v>
      </c>
      <c r="B7" s="32" t="str">
        <f xml:space="preserve"> _xlfn.XLOOKUP(cubProducts[[#This Row],[Month]], tblCalendar[[#Data],[Month]], tblCalendar[[#Data],[Half Year]])</f>
        <v>2025 H2</v>
      </c>
      <c r="C7" s="32" t="str">
        <f xml:space="preserve"> _xlfn.XLOOKUP(cubProducts[[#This Row],[Month]], tblCalendar[[#Data],[Month]], tblCalendar[[#Data],[Quarter]])</f>
        <v>2025 Q4</v>
      </c>
      <c r="D7" s="22">
        <v>45931</v>
      </c>
      <c r="F7" s="21" t="s">
        <v>136</v>
      </c>
      <c r="G7" s="21" t="s">
        <v>157</v>
      </c>
      <c r="H7" s="23">
        <f t="shared" ca="1" si="0"/>
        <v>58</v>
      </c>
      <c r="I7" s="27">
        <f t="shared" ca="1" si="1"/>
        <v>66.320000000000007</v>
      </c>
      <c r="J7" s="26">
        <f t="shared" ca="1" si="2"/>
        <v>0.94311535085065834</v>
      </c>
      <c r="K7" s="27">
        <f ca="1">cubProducts[[#This Row],[Средняя цена]]*cubProducts[[#This Row],[Продано]]*(100% - cubProducts[[#This Row],[Червивость]])</f>
        <v>218.81021603189168</v>
      </c>
      <c r="L7" s="21" t="s">
        <v>232</v>
      </c>
      <c r="P7" s="29">
        <v>2026</v>
      </c>
      <c r="Q7" s="29" t="s">
        <v>65</v>
      </c>
      <c r="R7" s="29" t="s">
        <v>63</v>
      </c>
      <c r="S7" s="22">
        <v>46054</v>
      </c>
    </row>
    <row r="8" spans="1:20" x14ac:dyDescent="0.25">
      <c r="A8" s="32">
        <f xml:space="preserve"> _xlfn.XLOOKUP(cubProducts[[#This Row],[Month]], tblCalendar[[#Data],[Month]], tblCalendar[[#Data],[Year]])</f>
        <v>2025</v>
      </c>
      <c r="B8" s="32" t="str">
        <f xml:space="preserve"> _xlfn.XLOOKUP(cubProducts[[#This Row],[Month]], tblCalendar[[#Data],[Month]], tblCalendar[[#Data],[Half Year]])</f>
        <v>2025 H2</v>
      </c>
      <c r="C8" s="32" t="str">
        <f xml:space="preserve"> _xlfn.XLOOKUP(cubProducts[[#This Row],[Month]], tblCalendar[[#Data],[Month]], tblCalendar[[#Data],[Quarter]])</f>
        <v>2025 Q4</v>
      </c>
      <c r="D8" s="22">
        <v>45931</v>
      </c>
      <c r="F8" s="21" t="s">
        <v>136</v>
      </c>
      <c r="G8" s="21" t="s">
        <v>158</v>
      </c>
      <c r="H8" s="23">
        <f t="shared" ca="1" si="0"/>
        <v>135</v>
      </c>
      <c r="I8" s="27">
        <f t="shared" ca="1" si="1"/>
        <v>405.62</v>
      </c>
      <c r="J8" s="26">
        <f t="shared" ca="1" si="2"/>
        <v>0.19622021291186476</v>
      </c>
      <c r="K8" s="27">
        <f ca="1">cubProducts[[#This Row],[Средняя цена]]*cubProducts[[#This Row],[Продано]]*(100% - cubProducts[[#This Row],[Червивость]])</f>
        <v>44013.936227223072</v>
      </c>
      <c r="L8" s="21" t="s">
        <v>232</v>
      </c>
      <c r="P8" s="29">
        <v>2026</v>
      </c>
      <c r="Q8" s="29" t="s">
        <v>65</v>
      </c>
      <c r="R8" s="29" t="s">
        <v>63</v>
      </c>
      <c r="S8" s="22">
        <v>46082</v>
      </c>
    </row>
    <row r="9" spans="1:20" x14ac:dyDescent="0.25">
      <c r="A9" s="32">
        <f xml:space="preserve"> _xlfn.XLOOKUP(cubProducts[[#This Row],[Month]], tblCalendar[[#Data],[Month]], tblCalendar[[#Data],[Year]])</f>
        <v>2025</v>
      </c>
      <c r="B9" s="32" t="str">
        <f xml:space="preserve"> _xlfn.XLOOKUP(cubProducts[[#This Row],[Month]], tblCalendar[[#Data],[Month]], tblCalendar[[#Data],[Half Year]])</f>
        <v>2025 H2</v>
      </c>
      <c r="C9" s="32" t="str">
        <f xml:space="preserve"> _xlfn.XLOOKUP(cubProducts[[#This Row],[Month]], tblCalendar[[#Data],[Month]], tblCalendar[[#Data],[Quarter]])</f>
        <v>2025 Q4</v>
      </c>
      <c r="D9" s="22">
        <v>45931</v>
      </c>
      <c r="F9" s="21" t="s">
        <v>136</v>
      </c>
      <c r="G9" s="21" t="s">
        <v>159</v>
      </c>
      <c r="H9" s="23">
        <f t="shared" ca="1" si="0"/>
        <v>185</v>
      </c>
      <c r="I9" s="27">
        <f t="shared" ca="1" si="1"/>
        <v>368.8</v>
      </c>
      <c r="J9" s="26">
        <f t="shared" ca="1" si="2"/>
        <v>0.1796931362044234</v>
      </c>
      <c r="K9" s="27">
        <f ca="1">cubProducts[[#This Row],[Средняя цена]]*cubProducts[[#This Row],[Продано]]*(100% - cubProducts[[#This Row],[Червивость]])</f>
        <v>55967.8967030446</v>
      </c>
      <c r="L9" s="21" t="s">
        <v>232</v>
      </c>
      <c r="P9" s="29">
        <v>2026</v>
      </c>
      <c r="Q9" s="29" t="s">
        <v>65</v>
      </c>
      <c r="R9" s="29" t="s">
        <v>66</v>
      </c>
      <c r="S9" s="22">
        <v>46113</v>
      </c>
    </row>
    <row r="10" spans="1:20" x14ac:dyDescent="0.25">
      <c r="A10" s="32">
        <f xml:space="preserve"> _xlfn.XLOOKUP(cubProducts[[#This Row],[Month]], tblCalendar[[#Data],[Month]], tblCalendar[[#Data],[Year]])</f>
        <v>2025</v>
      </c>
      <c r="B10" s="32" t="str">
        <f xml:space="preserve"> _xlfn.XLOOKUP(cubProducts[[#This Row],[Month]], tblCalendar[[#Data],[Month]], tblCalendar[[#Data],[Half Year]])</f>
        <v>2025 H2</v>
      </c>
      <c r="C10" s="32" t="str">
        <f xml:space="preserve"> _xlfn.XLOOKUP(cubProducts[[#This Row],[Month]], tblCalendar[[#Data],[Month]], tblCalendar[[#Data],[Quarter]])</f>
        <v>2025 Q4</v>
      </c>
      <c r="D10" s="22">
        <v>45931</v>
      </c>
      <c r="F10" s="21" t="s">
        <v>137</v>
      </c>
      <c r="G10" s="21" t="s">
        <v>160</v>
      </c>
      <c r="H10" s="23">
        <f t="shared" ca="1" si="0"/>
        <v>195</v>
      </c>
      <c r="I10" s="27">
        <f t="shared" ca="1" si="1"/>
        <v>360.11</v>
      </c>
      <c r="J10" s="26">
        <f t="shared" ca="1" si="2"/>
        <v>0.58405150182170229</v>
      </c>
      <c r="K10" s="27">
        <f ca="1">cubProducts[[#This Row],[Средняя цена]]*cubProducts[[#This Row],[Продано]]*(100% - cubProducts[[#This Row],[Червивость]])</f>
        <v>29208.506667402424</v>
      </c>
      <c r="L10" s="21" t="s">
        <v>232</v>
      </c>
      <c r="P10" s="29">
        <v>2026</v>
      </c>
      <c r="Q10" s="29" t="s">
        <v>65</v>
      </c>
      <c r="R10" s="29" t="s">
        <v>66</v>
      </c>
      <c r="S10" s="22">
        <v>46143</v>
      </c>
    </row>
    <row r="11" spans="1:20" x14ac:dyDescent="0.25">
      <c r="A11" s="32">
        <f xml:space="preserve"> _xlfn.XLOOKUP(cubProducts[[#This Row],[Month]], tblCalendar[[#Data],[Month]], tblCalendar[[#Data],[Year]])</f>
        <v>2025</v>
      </c>
      <c r="B11" s="32" t="str">
        <f xml:space="preserve"> _xlfn.XLOOKUP(cubProducts[[#This Row],[Month]], tblCalendar[[#Data],[Month]], tblCalendar[[#Data],[Half Year]])</f>
        <v>2025 H2</v>
      </c>
      <c r="C11" s="32" t="str">
        <f xml:space="preserve"> _xlfn.XLOOKUP(cubProducts[[#This Row],[Month]], tblCalendar[[#Data],[Month]], tblCalendar[[#Data],[Quarter]])</f>
        <v>2025 Q4</v>
      </c>
      <c r="D11" s="22">
        <v>45931</v>
      </c>
      <c r="F11" s="21" t="s">
        <v>137</v>
      </c>
      <c r="G11" s="21" t="s">
        <v>161</v>
      </c>
      <c r="H11" s="23">
        <f t="shared" ca="1" si="0"/>
        <v>3</v>
      </c>
      <c r="I11" s="27">
        <f t="shared" ca="1" si="1"/>
        <v>427.9</v>
      </c>
      <c r="J11" s="26">
        <f t="shared" ca="1" si="2"/>
        <v>8.6454546933480758E-2</v>
      </c>
      <c r="K11" s="27">
        <f ca="1">cubProducts[[#This Row],[Средняя цена]]*cubProducts[[#This Row],[Продано]]*(100% - cubProducts[[#This Row],[Червивость]])</f>
        <v>1172.7182981014905</v>
      </c>
      <c r="L11" s="21" t="s">
        <v>232</v>
      </c>
      <c r="P11" s="29">
        <v>2026</v>
      </c>
      <c r="Q11" s="29" t="s">
        <v>65</v>
      </c>
      <c r="R11" s="29" t="s">
        <v>66</v>
      </c>
      <c r="S11" s="22">
        <v>46174</v>
      </c>
    </row>
    <row r="12" spans="1:20" x14ac:dyDescent="0.25">
      <c r="A12" s="32">
        <f xml:space="preserve"> _xlfn.XLOOKUP(cubProducts[[#This Row],[Month]], tblCalendar[[#Data],[Month]], tblCalendar[[#Data],[Year]])</f>
        <v>2025</v>
      </c>
      <c r="B12" s="32" t="str">
        <f xml:space="preserve"> _xlfn.XLOOKUP(cubProducts[[#This Row],[Month]], tblCalendar[[#Data],[Month]], tblCalendar[[#Data],[Half Year]])</f>
        <v>2025 H2</v>
      </c>
      <c r="C12" s="32" t="str">
        <f xml:space="preserve"> _xlfn.XLOOKUP(cubProducts[[#This Row],[Month]], tblCalendar[[#Data],[Month]], tblCalendar[[#Data],[Quarter]])</f>
        <v>2025 Q4</v>
      </c>
      <c r="D12" s="22">
        <v>45962</v>
      </c>
      <c r="F12" s="21" t="s">
        <v>136</v>
      </c>
      <c r="G12" s="21" t="s">
        <v>157</v>
      </c>
      <c r="H12" s="23">
        <f t="shared" ca="1" si="0"/>
        <v>113</v>
      </c>
      <c r="I12" s="27">
        <f t="shared" ca="1" si="1"/>
        <v>56.4</v>
      </c>
      <c r="J12" s="26">
        <f t="shared" ca="1" si="2"/>
        <v>0.97096753656469781</v>
      </c>
      <c r="K12" s="27">
        <f ca="1">cubProducts[[#This Row],[Средняя цена]]*cubProducts[[#This Row],[Продано]]*(100% - cubProducts[[#This Row],[Червивость]])</f>
        <v>185.02969596586792</v>
      </c>
      <c r="L12" s="21" t="s">
        <v>232</v>
      </c>
      <c r="P12" s="29">
        <v>2026</v>
      </c>
      <c r="Q12" s="29" t="s">
        <v>73</v>
      </c>
      <c r="R12" s="29" t="s">
        <v>71</v>
      </c>
      <c r="S12" s="22">
        <v>46204</v>
      </c>
    </row>
    <row r="13" spans="1:20" x14ac:dyDescent="0.25">
      <c r="A13" s="32">
        <f xml:space="preserve"> _xlfn.XLOOKUP(cubProducts[[#This Row],[Month]], tblCalendar[[#Data],[Month]], tblCalendar[[#Data],[Year]])</f>
        <v>2025</v>
      </c>
      <c r="B13" s="32" t="str">
        <f xml:space="preserve"> _xlfn.XLOOKUP(cubProducts[[#This Row],[Month]], tblCalendar[[#Data],[Month]], tblCalendar[[#Data],[Half Year]])</f>
        <v>2025 H2</v>
      </c>
      <c r="C13" s="32" t="str">
        <f xml:space="preserve"> _xlfn.XLOOKUP(cubProducts[[#This Row],[Month]], tblCalendar[[#Data],[Month]], tblCalendar[[#Data],[Quarter]])</f>
        <v>2025 Q4</v>
      </c>
      <c r="D13" s="22">
        <v>45962</v>
      </c>
      <c r="F13" s="21" t="s">
        <v>136</v>
      </c>
      <c r="G13" s="21" t="s">
        <v>158</v>
      </c>
      <c r="H13" s="23">
        <f t="shared" ca="1" si="0"/>
        <v>3</v>
      </c>
      <c r="I13" s="27">
        <f t="shared" ca="1" si="1"/>
        <v>349.68</v>
      </c>
      <c r="J13" s="26">
        <f t="shared" ca="1" si="2"/>
        <v>0.46432700615532485</v>
      </c>
      <c r="K13" s="27">
        <f ca="1">cubProducts[[#This Row],[Средняя цена]]*cubProducts[[#This Row],[Продано]]*(100% - cubProducts[[#This Row],[Червивость]])</f>
        <v>561.94239746281801</v>
      </c>
      <c r="L13" s="21" t="s">
        <v>232</v>
      </c>
      <c r="P13" s="29">
        <v>2026</v>
      </c>
      <c r="Q13" s="29" t="s">
        <v>73</v>
      </c>
      <c r="R13" s="29" t="s">
        <v>71</v>
      </c>
      <c r="S13" s="22">
        <v>46235</v>
      </c>
    </row>
    <row r="14" spans="1:20" x14ac:dyDescent="0.25">
      <c r="A14" s="32">
        <f xml:space="preserve"> _xlfn.XLOOKUP(cubProducts[[#This Row],[Month]], tblCalendar[[#Data],[Month]], tblCalendar[[#Data],[Year]])</f>
        <v>2025</v>
      </c>
      <c r="B14" s="32" t="str">
        <f xml:space="preserve"> _xlfn.XLOOKUP(cubProducts[[#This Row],[Month]], tblCalendar[[#Data],[Month]], tblCalendar[[#Data],[Half Year]])</f>
        <v>2025 H2</v>
      </c>
      <c r="C14" s="32" t="str">
        <f xml:space="preserve"> _xlfn.XLOOKUP(cubProducts[[#This Row],[Month]], tblCalendar[[#Data],[Month]], tblCalendar[[#Data],[Quarter]])</f>
        <v>2025 Q4</v>
      </c>
      <c r="D14" s="22">
        <v>45962</v>
      </c>
      <c r="F14" s="21" t="s">
        <v>136</v>
      </c>
      <c r="G14" s="21" t="s">
        <v>159</v>
      </c>
      <c r="H14" s="23">
        <f t="shared" ca="1" si="0"/>
        <v>43</v>
      </c>
      <c r="I14" s="27">
        <f t="shared" ca="1" si="1"/>
        <v>243.7</v>
      </c>
      <c r="J14" s="26">
        <f t="shared" ca="1" si="2"/>
        <v>0.74008385848282299</v>
      </c>
      <c r="K14" s="27">
        <f ca="1">cubProducts[[#This Row],[Средняя цена]]*cubProducts[[#This Row],[Продано]]*(100% - cubProducts[[#This Row],[Червивость]])</f>
        <v>2723.6872385726497</v>
      </c>
      <c r="L14" s="21" t="s">
        <v>232</v>
      </c>
      <c r="P14" s="29">
        <v>2026</v>
      </c>
      <c r="Q14" s="29" t="s">
        <v>73</v>
      </c>
      <c r="R14" s="29" t="s">
        <v>71</v>
      </c>
      <c r="S14" s="22">
        <v>46266</v>
      </c>
    </row>
    <row r="15" spans="1:20" x14ac:dyDescent="0.25">
      <c r="A15" s="32">
        <f xml:space="preserve"> _xlfn.XLOOKUP(cubProducts[[#This Row],[Month]], tblCalendar[[#Data],[Month]], tblCalendar[[#Data],[Year]])</f>
        <v>2025</v>
      </c>
      <c r="B15" s="32" t="str">
        <f xml:space="preserve"> _xlfn.XLOOKUP(cubProducts[[#This Row],[Month]], tblCalendar[[#Data],[Month]], tblCalendar[[#Data],[Half Year]])</f>
        <v>2025 H2</v>
      </c>
      <c r="C15" s="32" t="str">
        <f xml:space="preserve"> _xlfn.XLOOKUP(cubProducts[[#This Row],[Month]], tblCalendar[[#Data],[Month]], tblCalendar[[#Data],[Quarter]])</f>
        <v>2025 Q4</v>
      </c>
      <c r="D15" s="22">
        <v>45962</v>
      </c>
      <c r="F15" s="21" t="s">
        <v>137</v>
      </c>
      <c r="G15" s="21" t="s">
        <v>160</v>
      </c>
      <c r="H15" s="23">
        <f t="shared" ca="1" si="0"/>
        <v>168</v>
      </c>
      <c r="I15" s="27">
        <f t="shared" ca="1" si="1"/>
        <v>26.880000000000003</v>
      </c>
      <c r="J15" s="26">
        <f t="shared" ca="1" si="2"/>
        <v>0.78644702378829734</v>
      </c>
      <c r="K15" s="27">
        <f ca="1">cubProducts[[#This Row],[Средняя цена]]*cubProducts[[#This Row],[Продано]]*(100% - cubProducts[[#This Row],[Червивость]])</f>
        <v>964.37107209585542</v>
      </c>
      <c r="L15" s="21" t="s">
        <v>232</v>
      </c>
      <c r="P15" s="29">
        <v>2026</v>
      </c>
      <c r="Q15" s="29" t="s">
        <v>73</v>
      </c>
      <c r="R15" s="29" t="s">
        <v>72</v>
      </c>
      <c r="S15" s="22">
        <v>46296</v>
      </c>
    </row>
    <row r="16" spans="1:20" x14ac:dyDescent="0.25">
      <c r="A16" s="32">
        <f xml:space="preserve"> _xlfn.XLOOKUP(cubProducts[[#This Row],[Month]], tblCalendar[[#Data],[Month]], tblCalendar[[#Data],[Year]])</f>
        <v>2025</v>
      </c>
      <c r="B16" s="32" t="str">
        <f xml:space="preserve"> _xlfn.XLOOKUP(cubProducts[[#This Row],[Month]], tblCalendar[[#Data],[Month]], tblCalendar[[#Data],[Half Year]])</f>
        <v>2025 H2</v>
      </c>
      <c r="C16" s="32" t="str">
        <f xml:space="preserve"> _xlfn.XLOOKUP(cubProducts[[#This Row],[Month]], tblCalendar[[#Data],[Month]], tblCalendar[[#Data],[Quarter]])</f>
        <v>2025 Q4</v>
      </c>
      <c r="D16" s="22">
        <v>45962</v>
      </c>
      <c r="F16" s="21" t="s">
        <v>137</v>
      </c>
      <c r="G16" s="21" t="s">
        <v>161</v>
      </c>
      <c r="H16" s="23">
        <f t="shared" ca="1" si="0"/>
        <v>126</v>
      </c>
      <c r="I16" s="27">
        <f t="shared" ca="1" si="1"/>
        <v>99.26</v>
      </c>
      <c r="J16" s="26">
        <f t="shared" ca="1" si="2"/>
        <v>0.81133698222940054</v>
      </c>
      <c r="K16" s="27">
        <f ca="1">cubProducts[[#This Row],[Средняя цена]]*cubProducts[[#This Row],[Продано]]*(100% - cubProducts[[#This Row],[Червивость]])</f>
        <v>2359.5630841326224</v>
      </c>
      <c r="L16" s="21" t="s">
        <v>232</v>
      </c>
      <c r="P16" s="29">
        <v>2026</v>
      </c>
      <c r="Q16" s="29" t="s">
        <v>73</v>
      </c>
      <c r="R16" s="29" t="s">
        <v>72</v>
      </c>
      <c r="S16" s="22">
        <v>46327</v>
      </c>
    </row>
    <row r="17" spans="1:19" x14ac:dyDescent="0.25">
      <c r="A17" s="32">
        <f xml:space="preserve"> _xlfn.XLOOKUP(cubProducts[[#This Row],[Month]], tblCalendar[[#Data],[Month]], tblCalendar[[#Data],[Year]])</f>
        <v>2025</v>
      </c>
      <c r="B17" s="32" t="str">
        <f xml:space="preserve"> _xlfn.XLOOKUP(cubProducts[[#This Row],[Month]], tblCalendar[[#Data],[Month]], tblCalendar[[#Data],[Half Year]])</f>
        <v>2025 H2</v>
      </c>
      <c r="C17" s="32" t="str">
        <f xml:space="preserve"> _xlfn.XLOOKUP(cubProducts[[#This Row],[Month]], tblCalendar[[#Data],[Month]], tblCalendar[[#Data],[Quarter]])</f>
        <v>2025 Q4</v>
      </c>
      <c r="D17" s="22">
        <v>45992</v>
      </c>
      <c r="F17" s="21" t="s">
        <v>136</v>
      </c>
      <c r="G17" s="21" t="s">
        <v>157</v>
      </c>
      <c r="H17" s="23">
        <f t="shared" ca="1" si="0"/>
        <v>11</v>
      </c>
      <c r="I17" s="27">
        <f t="shared" ca="1" si="1"/>
        <v>95.83</v>
      </c>
      <c r="J17" s="26">
        <f t="shared" ca="1" si="2"/>
        <v>0.79492735376289303</v>
      </c>
      <c r="K17" s="27">
        <f ca="1">cubProducts[[#This Row],[Средняя цена]]*cubProducts[[#This Row],[Продано]]*(100% - cubProducts[[#This Row],[Червивость]])</f>
        <v>216.17322857792155</v>
      </c>
      <c r="L17" s="21" t="s">
        <v>232</v>
      </c>
      <c r="P17" s="29">
        <v>2026</v>
      </c>
      <c r="Q17" s="29" t="s">
        <v>73</v>
      </c>
      <c r="R17" s="29" t="s">
        <v>72</v>
      </c>
      <c r="S17" s="22">
        <v>46357</v>
      </c>
    </row>
    <row r="18" spans="1:19" x14ac:dyDescent="0.25">
      <c r="A18" s="32">
        <f xml:space="preserve"> _xlfn.XLOOKUP(cubProducts[[#This Row],[Month]], tblCalendar[[#Data],[Month]], tblCalendar[[#Data],[Year]])</f>
        <v>2025</v>
      </c>
      <c r="B18" s="32" t="str">
        <f xml:space="preserve"> _xlfn.XLOOKUP(cubProducts[[#This Row],[Month]], tblCalendar[[#Data],[Month]], tblCalendar[[#Data],[Half Year]])</f>
        <v>2025 H2</v>
      </c>
      <c r="C18" s="32" t="str">
        <f xml:space="preserve"> _xlfn.XLOOKUP(cubProducts[[#This Row],[Month]], tblCalendar[[#Data],[Month]], tblCalendar[[#Data],[Quarter]])</f>
        <v>2025 Q4</v>
      </c>
      <c r="D18" s="22">
        <v>45992</v>
      </c>
      <c r="F18" s="21" t="s">
        <v>136</v>
      </c>
      <c r="G18" s="21" t="s">
        <v>158</v>
      </c>
      <c r="H18" s="23">
        <f t="shared" ca="1" si="0"/>
        <v>62</v>
      </c>
      <c r="I18" s="27">
        <f t="shared" ca="1" si="1"/>
        <v>318.24</v>
      </c>
      <c r="J18" s="26">
        <f t="shared" ca="1" si="2"/>
        <v>0.37794941328212428</v>
      </c>
      <c r="K18" s="27">
        <f ca="1">cubProducts[[#This Row],[Средняя цена]]*cubProducts[[#This Row],[Продано]]*(100% - cubProducts[[#This Row],[Червивость]])</f>
        <v>12273.605480460001</v>
      </c>
      <c r="L18" s="21" t="s">
        <v>232</v>
      </c>
      <c r="P18" s="29" t="s">
        <v>152</v>
      </c>
      <c r="Q18" s="29" t="s">
        <v>153</v>
      </c>
      <c r="R18" s="29" t="s">
        <v>99</v>
      </c>
      <c r="S18" s="22">
        <v>46388</v>
      </c>
    </row>
    <row r="19" spans="1:19" x14ac:dyDescent="0.25">
      <c r="A19" s="32">
        <f xml:space="preserve"> _xlfn.XLOOKUP(cubProducts[[#This Row],[Month]], tblCalendar[[#Data],[Month]], tblCalendar[[#Data],[Year]])</f>
        <v>2025</v>
      </c>
      <c r="B19" s="32" t="str">
        <f xml:space="preserve"> _xlfn.XLOOKUP(cubProducts[[#This Row],[Month]], tblCalendar[[#Data],[Month]], tblCalendar[[#Data],[Half Year]])</f>
        <v>2025 H2</v>
      </c>
      <c r="C19" s="32" t="str">
        <f xml:space="preserve"> _xlfn.XLOOKUP(cubProducts[[#This Row],[Month]], tblCalendar[[#Data],[Month]], tblCalendar[[#Data],[Quarter]])</f>
        <v>2025 Q4</v>
      </c>
      <c r="D19" s="22">
        <v>45992</v>
      </c>
      <c r="F19" s="21" t="s">
        <v>136</v>
      </c>
      <c r="G19" s="21" t="s">
        <v>159</v>
      </c>
      <c r="H19" s="23">
        <f t="shared" ca="1" si="0"/>
        <v>180</v>
      </c>
      <c r="I19" s="27">
        <f t="shared" ca="1" si="1"/>
        <v>313.02</v>
      </c>
      <c r="J19" s="26">
        <f t="shared" ca="1" si="2"/>
        <v>0.15155207312263719</v>
      </c>
      <c r="K19" s="27">
        <f ca="1">cubProducts[[#This Row],[Средняя цена]]*cubProducts[[#This Row],[Продано]]*(100% - cubProducts[[#This Row],[Червивость]])</f>
        <v>47804.610612807381</v>
      </c>
      <c r="L19" s="21" t="s">
        <v>232</v>
      </c>
      <c r="P19" s="29" t="s">
        <v>152</v>
      </c>
      <c r="Q19" s="29" t="s">
        <v>153</v>
      </c>
      <c r="R19" s="29" t="s">
        <v>99</v>
      </c>
      <c r="S19" s="22">
        <v>46419</v>
      </c>
    </row>
    <row r="20" spans="1:19" x14ac:dyDescent="0.25">
      <c r="A20" s="32">
        <f xml:space="preserve"> _xlfn.XLOOKUP(cubProducts[[#This Row],[Month]], tblCalendar[[#Data],[Month]], tblCalendar[[#Data],[Year]])</f>
        <v>2025</v>
      </c>
      <c r="B20" s="32" t="str">
        <f xml:space="preserve"> _xlfn.XLOOKUP(cubProducts[[#This Row],[Month]], tblCalendar[[#Data],[Month]], tblCalendar[[#Data],[Half Year]])</f>
        <v>2025 H2</v>
      </c>
      <c r="C20" s="32" t="str">
        <f xml:space="preserve"> _xlfn.XLOOKUP(cubProducts[[#This Row],[Month]], tblCalendar[[#Data],[Month]], tblCalendar[[#Data],[Quarter]])</f>
        <v>2025 Q4</v>
      </c>
      <c r="D20" s="22">
        <v>45992</v>
      </c>
      <c r="F20" s="21" t="s">
        <v>137</v>
      </c>
      <c r="G20" s="21" t="s">
        <v>160</v>
      </c>
      <c r="H20" s="23">
        <f t="shared" ca="1" si="0"/>
        <v>95</v>
      </c>
      <c r="I20" s="27">
        <f t="shared" ca="1" si="1"/>
        <v>81.990000000000009</v>
      </c>
      <c r="J20" s="26">
        <f t="shared" ca="1" si="2"/>
        <v>0.52644006269828203</v>
      </c>
      <c r="K20" s="27">
        <f ca="1">cubProducts[[#This Row],[Средняя цена]]*cubProducts[[#This Row],[Продано]]*(100% - cubProducts[[#This Row],[Червивость]])</f>
        <v>3688.582029639947</v>
      </c>
      <c r="L20" s="21" t="s">
        <v>232</v>
      </c>
      <c r="P20" s="29" t="s">
        <v>152</v>
      </c>
      <c r="Q20" s="29" t="s">
        <v>153</v>
      </c>
      <c r="R20" s="29" t="s">
        <v>99</v>
      </c>
      <c r="S20" s="22">
        <v>46447</v>
      </c>
    </row>
    <row r="21" spans="1:19" x14ac:dyDescent="0.25">
      <c r="A21" s="32">
        <f xml:space="preserve"> _xlfn.XLOOKUP(cubProducts[[#This Row],[Month]], tblCalendar[[#Data],[Month]], tblCalendar[[#Data],[Year]])</f>
        <v>2025</v>
      </c>
      <c r="B21" s="32" t="str">
        <f xml:space="preserve"> _xlfn.XLOOKUP(cubProducts[[#This Row],[Month]], tblCalendar[[#Data],[Month]], tblCalendar[[#Data],[Half Year]])</f>
        <v>2025 H2</v>
      </c>
      <c r="C21" s="32" t="str">
        <f xml:space="preserve"> _xlfn.XLOOKUP(cubProducts[[#This Row],[Month]], tblCalendar[[#Data],[Month]], tblCalendar[[#Data],[Quarter]])</f>
        <v>2025 Q4</v>
      </c>
      <c r="D21" s="22">
        <v>45992</v>
      </c>
      <c r="F21" s="21" t="s">
        <v>137</v>
      </c>
      <c r="G21" s="21" t="s">
        <v>161</v>
      </c>
      <c r="H21" s="23">
        <f t="shared" ca="1" si="0"/>
        <v>76</v>
      </c>
      <c r="I21" s="27">
        <f t="shared" ca="1" si="1"/>
        <v>37.799999999999997</v>
      </c>
      <c r="J21" s="26">
        <f t="shared" ca="1" si="2"/>
        <v>0.91892516023261583</v>
      </c>
      <c r="K21" s="27">
        <f ca="1">cubProducts[[#This Row],[Средняя цена]]*cubProducts[[#This Row],[Продано]]*(100% - cubProducts[[#This Row],[Червивость]])</f>
        <v>232.91179968374121</v>
      </c>
      <c r="L21" s="21" t="s">
        <v>232</v>
      </c>
      <c r="P21" s="29" t="s">
        <v>152</v>
      </c>
      <c r="Q21" s="29" t="s">
        <v>153</v>
      </c>
      <c r="R21" s="29" t="s">
        <v>103</v>
      </c>
      <c r="S21" s="22">
        <v>46478</v>
      </c>
    </row>
    <row r="22" spans="1:19" x14ac:dyDescent="0.25">
      <c r="A22" s="32">
        <f xml:space="preserve"> _xlfn.XLOOKUP(cubProducts[[#This Row],[Month]], tblCalendar[[#Data],[Month]], tblCalendar[[#Data],[Year]])</f>
        <v>2026</v>
      </c>
      <c r="B22" s="32" t="str">
        <f xml:space="preserve"> _xlfn.XLOOKUP(cubProducts[[#This Row],[Month]], tblCalendar[[#Data],[Month]], tblCalendar[[#Data],[Half Year]])</f>
        <v>2026 H1</v>
      </c>
      <c r="C22" s="32" t="str">
        <f xml:space="preserve"> _xlfn.XLOOKUP(cubProducts[[#This Row],[Month]], tblCalendar[[#Data],[Month]], tblCalendar[[#Data],[Quarter]])</f>
        <v>2026 Q1</v>
      </c>
      <c r="D22" s="22">
        <v>46023</v>
      </c>
      <c r="F22" s="21" t="s">
        <v>136</v>
      </c>
      <c r="G22" s="21" t="s">
        <v>157</v>
      </c>
      <c r="H22" s="23">
        <f t="shared" ca="1" si="0"/>
        <v>80</v>
      </c>
      <c r="I22" s="27">
        <f t="shared" ca="1" si="1"/>
        <v>164.82</v>
      </c>
      <c r="J22" s="26">
        <f t="shared" ca="1" si="2"/>
        <v>0.26006445443735371</v>
      </c>
      <c r="K22" s="27">
        <f ca="1">cubProducts[[#This Row],[Средняя цена]]*cubProducts[[#This Row],[Продано]]*(100% - cubProducts[[#This Row],[Червивость]])</f>
        <v>9756.4941295708286</v>
      </c>
      <c r="L22" s="21" t="s">
        <v>232</v>
      </c>
      <c r="P22" s="29" t="s">
        <v>152</v>
      </c>
      <c r="Q22" s="29" t="s">
        <v>153</v>
      </c>
      <c r="R22" s="29" t="s">
        <v>103</v>
      </c>
      <c r="S22" s="22">
        <v>46508</v>
      </c>
    </row>
    <row r="23" spans="1:19" x14ac:dyDescent="0.25">
      <c r="A23" s="32">
        <f xml:space="preserve"> _xlfn.XLOOKUP(cubProducts[[#This Row],[Month]], tblCalendar[[#Data],[Month]], tblCalendar[[#Data],[Year]])</f>
        <v>2026</v>
      </c>
      <c r="B23" s="32" t="str">
        <f xml:space="preserve"> _xlfn.XLOOKUP(cubProducts[[#This Row],[Month]], tblCalendar[[#Data],[Month]], tblCalendar[[#Data],[Half Year]])</f>
        <v>2026 H1</v>
      </c>
      <c r="C23" s="32" t="str">
        <f xml:space="preserve"> _xlfn.XLOOKUP(cubProducts[[#This Row],[Month]], tblCalendar[[#Data],[Month]], tblCalendar[[#Data],[Quarter]])</f>
        <v>2026 Q1</v>
      </c>
      <c r="D23" s="22">
        <v>46023</v>
      </c>
      <c r="F23" s="21" t="s">
        <v>136</v>
      </c>
      <c r="G23" s="21" t="s">
        <v>158</v>
      </c>
      <c r="H23" s="23">
        <f t="shared" ca="1" si="0"/>
        <v>108</v>
      </c>
      <c r="I23" s="27">
        <f t="shared" ca="1" si="1"/>
        <v>408.68</v>
      </c>
      <c r="J23" s="26">
        <f t="shared" ca="1" si="2"/>
        <v>0.11964680989833887</v>
      </c>
      <c r="K23" s="27">
        <f ca="1">cubProducts[[#This Row],[Средняя цена]]*cubProducts[[#This Row],[Продано]]*(100% - cubProducts[[#This Row],[Червивость]])</f>
        <v>38856.536106920663</v>
      </c>
      <c r="L23" s="21" t="s">
        <v>232</v>
      </c>
      <c r="P23" s="29" t="s">
        <v>152</v>
      </c>
      <c r="Q23" s="29" t="s">
        <v>153</v>
      </c>
      <c r="R23" s="29" t="s">
        <v>103</v>
      </c>
      <c r="S23" s="22">
        <v>46539</v>
      </c>
    </row>
    <row r="24" spans="1:19" x14ac:dyDescent="0.25">
      <c r="A24" s="32">
        <f xml:space="preserve"> _xlfn.XLOOKUP(cubProducts[[#This Row],[Month]], tblCalendar[[#Data],[Month]], tblCalendar[[#Data],[Year]])</f>
        <v>2026</v>
      </c>
      <c r="B24" s="32" t="str">
        <f xml:space="preserve"> _xlfn.XLOOKUP(cubProducts[[#This Row],[Month]], tblCalendar[[#Data],[Month]], tblCalendar[[#Data],[Half Year]])</f>
        <v>2026 H1</v>
      </c>
      <c r="C24" s="32" t="str">
        <f xml:space="preserve"> _xlfn.XLOOKUP(cubProducts[[#This Row],[Month]], tblCalendar[[#Data],[Month]], tblCalendar[[#Data],[Quarter]])</f>
        <v>2026 Q1</v>
      </c>
      <c r="D24" s="22">
        <v>46023</v>
      </c>
      <c r="F24" s="21" t="s">
        <v>136</v>
      </c>
      <c r="G24" s="21" t="s">
        <v>159</v>
      </c>
      <c r="H24" s="23">
        <f t="shared" ca="1" si="0"/>
        <v>178</v>
      </c>
      <c r="I24" s="27">
        <f t="shared" ca="1" si="1"/>
        <v>265.11</v>
      </c>
      <c r="J24" s="26">
        <f t="shared" ca="1" si="2"/>
        <v>0.86503078391443178</v>
      </c>
      <c r="K24" s="27">
        <f ca="1">cubProducts[[#This Row],[Средняя цена]]*cubProducts[[#This Row],[Продано]]*(100% - cubProducts[[#This Row],[Червивость]])</f>
        <v>6369.1406200072088</v>
      </c>
      <c r="L24" s="21" t="s">
        <v>232</v>
      </c>
      <c r="P24" s="29" t="s">
        <v>152</v>
      </c>
      <c r="Q24" s="29" t="s">
        <v>154</v>
      </c>
      <c r="R24" s="29" t="s">
        <v>100</v>
      </c>
      <c r="S24" s="22">
        <v>46569</v>
      </c>
    </row>
    <row r="25" spans="1:19" x14ac:dyDescent="0.25">
      <c r="A25" s="32">
        <f xml:space="preserve"> _xlfn.XLOOKUP(cubProducts[[#This Row],[Month]], tblCalendar[[#Data],[Month]], tblCalendar[[#Data],[Year]])</f>
        <v>2026</v>
      </c>
      <c r="B25" s="32" t="str">
        <f xml:space="preserve"> _xlfn.XLOOKUP(cubProducts[[#This Row],[Month]], tblCalendar[[#Data],[Month]], tblCalendar[[#Data],[Half Year]])</f>
        <v>2026 H1</v>
      </c>
      <c r="C25" s="32" t="str">
        <f xml:space="preserve"> _xlfn.XLOOKUP(cubProducts[[#This Row],[Month]], tblCalendar[[#Data],[Month]], tblCalendar[[#Data],[Quarter]])</f>
        <v>2026 Q1</v>
      </c>
      <c r="D25" s="22">
        <v>46023</v>
      </c>
      <c r="F25" s="21" t="s">
        <v>137</v>
      </c>
      <c r="G25" s="21" t="s">
        <v>160</v>
      </c>
      <c r="H25" s="23">
        <f t="shared" ca="1" si="0"/>
        <v>40</v>
      </c>
      <c r="I25" s="27">
        <f t="shared" ca="1" si="1"/>
        <v>146.42999999999998</v>
      </c>
      <c r="J25" s="26">
        <f t="shared" ca="1" si="2"/>
        <v>0.8016414214239137</v>
      </c>
      <c r="K25" s="27">
        <f ca="1">cubProducts[[#This Row],[Средняя цена]]*cubProducts[[#This Row],[Продано]]*(100% - cubProducts[[#This Row],[Червивость]])</f>
        <v>1161.8258664358525</v>
      </c>
      <c r="L25" s="21" t="s">
        <v>232</v>
      </c>
      <c r="P25" s="29" t="s">
        <v>152</v>
      </c>
      <c r="Q25" s="29" t="s">
        <v>154</v>
      </c>
      <c r="R25" s="29" t="s">
        <v>100</v>
      </c>
      <c r="S25" s="22">
        <v>46600</v>
      </c>
    </row>
    <row r="26" spans="1:19" x14ac:dyDescent="0.25">
      <c r="A26" s="32">
        <f xml:space="preserve"> _xlfn.XLOOKUP(cubProducts[[#This Row],[Month]], tblCalendar[[#Data],[Month]], tblCalendar[[#Data],[Year]])</f>
        <v>2026</v>
      </c>
      <c r="B26" s="32" t="str">
        <f xml:space="preserve"> _xlfn.XLOOKUP(cubProducts[[#This Row],[Month]], tblCalendar[[#Data],[Month]], tblCalendar[[#Data],[Half Year]])</f>
        <v>2026 H1</v>
      </c>
      <c r="C26" s="32" t="str">
        <f xml:space="preserve"> _xlfn.XLOOKUP(cubProducts[[#This Row],[Month]], tblCalendar[[#Data],[Month]], tblCalendar[[#Data],[Quarter]])</f>
        <v>2026 Q1</v>
      </c>
      <c r="D26" s="22">
        <v>46023</v>
      </c>
      <c r="F26" s="21" t="s">
        <v>137</v>
      </c>
      <c r="G26" s="21" t="s">
        <v>161</v>
      </c>
      <c r="H26" s="23">
        <f t="shared" ca="1" si="0"/>
        <v>70</v>
      </c>
      <c r="I26" s="27">
        <f t="shared" ca="1" si="1"/>
        <v>228.19</v>
      </c>
      <c r="J26" s="26">
        <f t="shared" ca="1" si="2"/>
        <v>0.58209976378148842</v>
      </c>
      <c r="K26" s="27">
        <f ca="1">cubProducts[[#This Row],[Средняя цена]]*cubProducts[[#This Row],[Продано]]*(100% - cubProducts[[#This Row],[Червивость]])</f>
        <v>6675.2458431891509</v>
      </c>
      <c r="L26" s="21" t="s">
        <v>232</v>
      </c>
      <c r="P26" s="29" t="s">
        <v>152</v>
      </c>
      <c r="Q26" s="29" t="s">
        <v>154</v>
      </c>
      <c r="R26" s="29" t="s">
        <v>100</v>
      </c>
      <c r="S26" s="22">
        <v>46631</v>
      </c>
    </row>
    <row r="27" spans="1:19" x14ac:dyDescent="0.25">
      <c r="A27" s="32">
        <f xml:space="preserve"> _xlfn.XLOOKUP(cubProducts[[#This Row],[Month]], tblCalendar[[#Data],[Month]], tblCalendar[[#Data],[Year]])</f>
        <v>2026</v>
      </c>
      <c r="B27" s="32" t="str">
        <f xml:space="preserve"> _xlfn.XLOOKUP(cubProducts[[#This Row],[Month]], tblCalendar[[#Data],[Month]], tblCalendar[[#Data],[Half Year]])</f>
        <v>2026 H1</v>
      </c>
      <c r="C27" s="32" t="str">
        <f xml:space="preserve"> _xlfn.XLOOKUP(cubProducts[[#This Row],[Month]], tblCalendar[[#Data],[Month]], tblCalendar[[#Data],[Quarter]])</f>
        <v>2026 Q1</v>
      </c>
      <c r="D27" s="22">
        <v>46054</v>
      </c>
      <c r="F27" s="21" t="s">
        <v>136</v>
      </c>
      <c r="G27" s="21" t="s">
        <v>157</v>
      </c>
      <c r="H27" s="23">
        <f t="shared" ca="1" si="0"/>
        <v>143</v>
      </c>
      <c r="I27" s="27">
        <f t="shared" ca="1" si="1"/>
        <v>399.92</v>
      </c>
      <c r="J27" s="26">
        <f t="shared" ca="1" si="2"/>
        <v>0.97151151772909394</v>
      </c>
      <c r="K27" s="27">
        <f ca="1">cubProducts[[#This Row],[Средняя цена]]*cubProducts[[#This Row],[Продано]]*(100% - cubProducts[[#This Row],[Червивость]])</f>
        <v>1629.2152776586474</v>
      </c>
      <c r="L27" s="21" t="s">
        <v>233</v>
      </c>
      <c r="P27" s="29" t="s">
        <v>152</v>
      </c>
      <c r="Q27" s="29" t="s">
        <v>154</v>
      </c>
      <c r="R27" s="29" t="s">
        <v>101</v>
      </c>
      <c r="S27" s="22">
        <v>46661</v>
      </c>
    </row>
    <row r="28" spans="1:19" x14ac:dyDescent="0.25">
      <c r="A28" s="32">
        <f xml:space="preserve"> _xlfn.XLOOKUP(cubProducts[[#This Row],[Month]], tblCalendar[[#Data],[Month]], tblCalendar[[#Data],[Year]])</f>
        <v>2026</v>
      </c>
      <c r="B28" s="32" t="str">
        <f xml:space="preserve"> _xlfn.XLOOKUP(cubProducts[[#This Row],[Month]], tblCalendar[[#Data],[Month]], tblCalendar[[#Data],[Half Year]])</f>
        <v>2026 H1</v>
      </c>
      <c r="C28" s="32" t="str">
        <f xml:space="preserve"> _xlfn.XLOOKUP(cubProducts[[#This Row],[Month]], tblCalendar[[#Data],[Month]], tblCalendar[[#Data],[Quarter]])</f>
        <v>2026 Q1</v>
      </c>
      <c r="D28" s="22">
        <v>46054</v>
      </c>
      <c r="F28" s="21" t="s">
        <v>136</v>
      </c>
      <c r="G28" s="21" t="s">
        <v>158</v>
      </c>
      <c r="H28" s="23">
        <f t="shared" ca="1" si="0"/>
        <v>13</v>
      </c>
      <c r="I28" s="27">
        <f t="shared" ca="1" si="1"/>
        <v>451.21999999999997</v>
      </c>
      <c r="J28" s="26">
        <f t="shared" ca="1" si="2"/>
        <v>0.74546041758614601</v>
      </c>
      <c r="K28" s="27">
        <f ca="1">cubProducts[[#This Row],[Средняя цена]]*cubProducts[[#This Row],[Продано]]*(100% - cubProducts[[#This Row],[Червивость]])</f>
        <v>1493.0935548981295</v>
      </c>
      <c r="L28" s="21" t="s">
        <v>233</v>
      </c>
      <c r="P28" s="29" t="s">
        <v>152</v>
      </c>
      <c r="Q28" s="29" t="s">
        <v>154</v>
      </c>
      <c r="R28" s="29" t="s">
        <v>101</v>
      </c>
      <c r="S28" s="22">
        <v>46692</v>
      </c>
    </row>
    <row r="29" spans="1:19" x14ac:dyDescent="0.25">
      <c r="A29" s="32">
        <f xml:space="preserve"> _xlfn.XLOOKUP(cubProducts[[#This Row],[Month]], tblCalendar[[#Data],[Month]], tblCalendar[[#Data],[Year]])</f>
        <v>2026</v>
      </c>
      <c r="B29" s="32" t="str">
        <f xml:space="preserve"> _xlfn.XLOOKUP(cubProducts[[#This Row],[Month]], tblCalendar[[#Data],[Month]], tblCalendar[[#Data],[Half Year]])</f>
        <v>2026 H1</v>
      </c>
      <c r="C29" s="32" t="str">
        <f xml:space="preserve"> _xlfn.XLOOKUP(cubProducts[[#This Row],[Month]], tblCalendar[[#Data],[Month]], tblCalendar[[#Data],[Quarter]])</f>
        <v>2026 Q1</v>
      </c>
      <c r="D29" s="22">
        <v>46054</v>
      </c>
      <c r="F29" s="21" t="s">
        <v>136</v>
      </c>
      <c r="G29" s="21" t="s">
        <v>159</v>
      </c>
      <c r="H29" s="23">
        <f t="shared" ca="1" si="0"/>
        <v>8</v>
      </c>
      <c r="I29" s="27">
        <f t="shared" ca="1" si="1"/>
        <v>493.42</v>
      </c>
      <c r="J29" s="26">
        <f t="shared" ca="1" si="2"/>
        <v>0.46611892582088921</v>
      </c>
      <c r="K29" s="27">
        <f ca="1">cubProducts[[#This Row],[Средняя цена]]*cubProducts[[#This Row],[Продано]]*(100% - cubProducts[[#This Row],[Червивость]])</f>
        <v>2107.4207969716549</v>
      </c>
      <c r="L29" s="21" t="s">
        <v>233</v>
      </c>
      <c r="P29" s="29" t="s">
        <v>152</v>
      </c>
      <c r="Q29" s="29" t="s">
        <v>154</v>
      </c>
      <c r="R29" s="29" t="s">
        <v>101</v>
      </c>
      <c r="S29" s="22">
        <v>46722</v>
      </c>
    </row>
    <row r="30" spans="1:19" x14ac:dyDescent="0.25">
      <c r="A30" s="32">
        <f xml:space="preserve"> _xlfn.XLOOKUP(cubProducts[[#This Row],[Month]], tblCalendar[[#Data],[Month]], tblCalendar[[#Data],[Year]])</f>
        <v>2026</v>
      </c>
      <c r="B30" s="32" t="str">
        <f xml:space="preserve"> _xlfn.XLOOKUP(cubProducts[[#This Row],[Month]], tblCalendar[[#Data],[Month]], tblCalendar[[#Data],[Half Year]])</f>
        <v>2026 H1</v>
      </c>
      <c r="C30" s="32" t="str">
        <f xml:space="preserve"> _xlfn.XLOOKUP(cubProducts[[#This Row],[Month]], tblCalendar[[#Data],[Month]], tblCalendar[[#Data],[Quarter]])</f>
        <v>2026 Q1</v>
      </c>
      <c r="D30" s="22">
        <v>46054</v>
      </c>
      <c r="F30" s="21" t="s">
        <v>137</v>
      </c>
      <c r="G30" s="21" t="s">
        <v>160</v>
      </c>
      <c r="H30" s="23">
        <f t="shared" ca="1" si="0"/>
        <v>88</v>
      </c>
      <c r="I30" s="27">
        <f t="shared" ca="1" si="1"/>
        <v>440.26</v>
      </c>
      <c r="J30" s="26">
        <f t="shared" ca="1" si="2"/>
        <v>0.26741942332308877</v>
      </c>
      <c r="K30" s="27">
        <f ca="1">cubProducts[[#This Row],[Средняя цена]]*cubProducts[[#This Row],[Продано]]*(100% - cubProducts[[#This Row],[Червивость]])</f>
        <v>28382.281372524369</v>
      </c>
      <c r="L30" s="21" t="s">
        <v>233</v>
      </c>
      <c r="P30" s="29" t="s">
        <v>234</v>
      </c>
      <c r="Q30" s="29" t="s">
        <v>235</v>
      </c>
      <c r="R30" s="29" t="s">
        <v>102</v>
      </c>
      <c r="S30" s="22">
        <v>46753</v>
      </c>
    </row>
    <row r="31" spans="1:19" x14ac:dyDescent="0.25">
      <c r="A31" s="32">
        <f xml:space="preserve"> _xlfn.XLOOKUP(cubProducts[[#This Row],[Month]], tblCalendar[[#Data],[Month]], tblCalendar[[#Data],[Year]])</f>
        <v>2026</v>
      </c>
      <c r="B31" s="32" t="str">
        <f xml:space="preserve"> _xlfn.XLOOKUP(cubProducts[[#This Row],[Month]], tblCalendar[[#Data],[Month]], tblCalendar[[#Data],[Half Year]])</f>
        <v>2026 H1</v>
      </c>
      <c r="C31" s="32" t="str">
        <f xml:space="preserve"> _xlfn.XLOOKUP(cubProducts[[#This Row],[Month]], tblCalendar[[#Data],[Month]], tblCalendar[[#Data],[Quarter]])</f>
        <v>2026 Q1</v>
      </c>
      <c r="D31" s="22">
        <v>46054</v>
      </c>
      <c r="F31" s="21" t="s">
        <v>137</v>
      </c>
      <c r="G31" s="21" t="s">
        <v>161</v>
      </c>
      <c r="H31" s="23">
        <f t="shared" ca="1" si="0"/>
        <v>99</v>
      </c>
      <c r="I31" s="27">
        <f t="shared" ca="1" si="1"/>
        <v>158.13</v>
      </c>
      <c r="J31" s="26">
        <f t="shared" ca="1" si="2"/>
        <v>0.76655555985364543</v>
      </c>
      <c r="K31" s="27">
        <f ca="1">cubProducts[[#This Row],[Средняя цена]]*cubProducts[[#This Row],[Продано]]*(100% - cubProducts[[#This Row],[Червивость]])</f>
        <v>3654.5423627139617</v>
      </c>
      <c r="L31" s="21" t="s">
        <v>233</v>
      </c>
    </row>
    <row r="32" spans="1:19" x14ac:dyDescent="0.25">
      <c r="A32" s="32">
        <f xml:space="preserve"> _xlfn.XLOOKUP(cubProducts[[#This Row],[Month]], tblCalendar[[#Data],[Month]], tblCalendar[[#Data],[Year]])</f>
        <v>2026</v>
      </c>
      <c r="B32" s="32" t="str">
        <f xml:space="preserve"> _xlfn.XLOOKUP(cubProducts[[#This Row],[Month]], tblCalendar[[#Data],[Month]], tblCalendar[[#Data],[Half Year]])</f>
        <v>2026 H1</v>
      </c>
      <c r="C32" s="32" t="str">
        <f xml:space="preserve"> _xlfn.XLOOKUP(cubProducts[[#This Row],[Month]], tblCalendar[[#Data],[Month]], tblCalendar[[#Data],[Quarter]])</f>
        <v>2026 Q1</v>
      </c>
      <c r="D32" s="22">
        <v>46082</v>
      </c>
      <c r="F32" s="21" t="s">
        <v>136</v>
      </c>
      <c r="G32" s="21" t="s">
        <v>157</v>
      </c>
      <c r="H32" s="23">
        <f t="shared" ca="1" si="0"/>
        <v>60</v>
      </c>
      <c r="I32" s="27">
        <f t="shared" ca="1" si="1"/>
        <v>426.17</v>
      </c>
      <c r="J32" s="26">
        <f t="shared" ca="1" si="2"/>
        <v>0.30566105121309695</v>
      </c>
      <c r="K32" s="27">
        <f ca="1">cubProducts[[#This Row],[Средняя цена]]*cubProducts[[#This Row],[Продано]]*(100% - cubProducts[[#This Row],[Червивость]])</f>
        <v>17754.385788270869</v>
      </c>
      <c r="L32" s="21" t="s">
        <v>233</v>
      </c>
    </row>
    <row r="33" spans="1:12" x14ac:dyDescent="0.25">
      <c r="A33" s="32">
        <f xml:space="preserve"> _xlfn.XLOOKUP(cubProducts[[#This Row],[Month]], tblCalendar[[#Data],[Month]], tblCalendar[[#Data],[Year]])</f>
        <v>2026</v>
      </c>
      <c r="B33" s="32" t="str">
        <f xml:space="preserve"> _xlfn.XLOOKUP(cubProducts[[#This Row],[Month]], tblCalendar[[#Data],[Month]], tblCalendar[[#Data],[Half Year]])</f>
        <v>2026 H1</v>
      </c>
      <c r="C33" s="32" t="str">
        <f xml:space="preserve"> _xlfn.XLOOKUP(cubProducts[[#This Row],[Month]], tblCalendar[[#Data],[Month]], tblCalendar[[#Data],[Quarter]])</f>
        <v>2026 Q1</v>
      </c>
      <c r="D33" s="22">
        <v>46082</v>
      </c>
      <c r="F33" s="21" t="s">
        <v>136</v>
      </c>
      <c r="G33" s="21" t="s">
        <v>158</v>
      </c>
      <c r="H33" s="23">
        <f t="shared" ca="1" si="0"/>
        <v>199</v>
      </c>
      <c r="I33" s="27">
        <f t="shared" ca="1" si="1"/>
        <v>168.38</v>
      </c>
      <c r="J33" s="26">
        <f t="shared" ca="1" si="2"/>
        <v>0.89276157576234139</v>
      </c>
      <c r="K33" s="27">
        <f ca="1">cubProducts[[#This Row],[Средняя цена]]*cubProducts[[#This Row],[Продано]]*(100% - cubProducts[[#This Row],[Червивость]])</f>
        <v>3593.3043687542549</v>
      </c>
      <c r="L33" s="21" t="s">
        <v>233</v>
      </c>
    </row>
    <row r="34" spans="1:12" x14ac:dyDescent="0.25">
      <c r="A34" s="32">
        <f xml:space="preserve"> _xlfn.XLOOKUP(cubProducts[[#This Row],[Month]], tblCalendar[[#Data],[Month]], tblCalendar[[#Data],[Year]])</f>
        <v>2026</v>
      </c>
      <c r="B34" s="32" t="str">
        <f xml:space="preserve"> _xlfn.XLOOKUP(cubProducts[[#This Row],[Month]], tblCalendar[[#Data],[Month]], tblCalendar[[#Data],[Half Year]])</f>
        <v>2026 H1</v>
      </c>
      <c r="C34" s="32" t="str">
        <f xml:space="preserve"> _xlfn.XLOOKUP(cubProducts[[#This Row],[Month]], tblCalendar[[#Data],[Month]], tblCalendar[[#Data],[Quarter]])</f>
        <v>2026 Q1</v>
      </c>
      <c r="D34" s="22">
        <v>46082</v>
      </c>
      <c r="F34" s="21" t="s">
        <v>136</v>
      </c>
      <c r="G34" s="21" t="s">
        <v>159</v>
      </c>
      <c r="H34" s="23">
        <f t="shared" ref="H34:H65" ca="1" si="3" xml:space="preserve"> RANDBETWEEN(0,200)</f>
        <v>94</v>
      </c>
      <c r="I34" s="27">
        <f t="shared" ca="1" si="1"/>
        <v>500.96999999999997</v>
      </c>
      <c r="J34" s="26">
        <f t="shared" ref="J34:J66" ca="1" si="4" xml:space="preserve"> RAND() * 100%</f>
        <v>0.61164054057626649</v>
      </c>
      <c r="K34" s="27">
        <f ca="1">cubProducts[[#This Row],[Средняя цена]]*cubProducts[[#This Row],[Продано]]*(100% - cubProducts[[#This Row],[Червивость]])</f>
        <v>18288.305208425732</v>
      </c>
      <c r="L34" s="21" t="s">
        <v>233</v>
      </c>
    </row>
    <row r="35" spans="1:12" x14ac:dyDescent="0.25">
      <c r="A35" s="32">
        <f xml:space="preserve"> _xlfn.XLOOKUP(cubProducts[[#This Row],[Month]], tblCalendar[[#Data],[Month]], tblCalendar[[#Data],[Year]])</f>
        <v>2026</v>
      </c>
      <c r="B35" s="32" t="str">
        <f xml:space="preserve"> _xlfn.XLOOKUP(cubProducts[[#This Row],[Month]], tblCalendar[[#Data],[Month]], tblCalendar[[#Data],[Half Year]])</f>
        <v>2026 H1</v>
      </c>
      <c r="C35" s="32" t="str">
        <f xml:space="preserve"> _xlfn.XLOOKUP(cubProducts[[#This Row],[Month]], tblCalendar[[#Data],[Month]], tblCalendar[[#Data],[Quarter]])</f>
        <v>2026 Q1</v>
      </c>
      <c r="D35" s="22">
        <v>46082</v>
      </c>
      <c r="F35" s="21" t="s">
        <v>137</v>
      </c>
      <c r="G35" s="21" t="s">
        <v>160</v>
      </c>
      <c r="H35" s="23">
        <f t="shared" ca="1" si="3"/>
        <v>89</v>
      </c>
      <c r="I35" s="27">
        <f t="shared" ca="1" si="1"/>
        <v>88.440000000000012</v>
      </c>
      <c r="J35" s="26">
        <f t="shared" ca="1" si="4"/>
        <v>0.98285275408731432</v>
      </c>
      <c r="K35" s="27">
        <f ca="1">cubProducts[[#This Row],[Средняя цена]]*cubProducts[[#This Row],[Продано]]*(100% - cubProducts[[#This Row],[Червивость]])</f>
        <v>134.96871613809506</v>
      </c>
      <c r="L35" s="21" t="s">
        <v>233</v>
      </c>
    </row>
    <row r="36" spans="1:12" x14ac:dyDescent="0.25">
      <c r="A36" s="32">
        <f xml:space="preserve"> _xlfn.XLOOKUP(cubProducts[[#This Row],[Month]], tblCalendar[[#Data],[Month]], tblCalendar[[#Data],[Year]])</f>
        <v>2026</v>
      </c>
      <c r="B36" s="32" t="str">
        <f xml:space="preserve"> _xlfn.XLOOKUP(cubProducts[[#This Row],[Month]], tblCalendar[[#Data],[Month]], tblCalendar[[#Data],[Half Year]])</f>
        <v>2026 H1</v>
      </c>
      <c r="C36" s="32" t="str">
        <f xml:space="preserve"> _xlfn.XLOOKUP(cubProducts[[#This Row],[Month]], tblCalendar[[#Data],[Month]], tblCalendar[[#Data],[Quarter]])</f>
        <v>2026 Q1</v>
      </c>
      <c r="D36" s="22">
        <v>46082</v>
      </c>
      <c r="F36" s="21" t="s">
        <v>137</v>
      </c>
      <c r="G36" s="21" t="s">
        <v>161</v>
      </c>
      <c r="H36" s="23">
        <f t="shared" ca="1" si="3"/>
        <v>3</v>
      </c>
      <c r="I36" s="27">
        <f t="shared" ca="1" si="1"/>
        <v>246.29999999999998</v>
      </c>
      <c r="J36" s="26">
        <f t="shared" ca="1" si="4"/>
        <v>0.5081442998078165</v>
      </c>
      <c r="K36" s="27">
        <f ca="1">cubProducts[[#This Row],[Средняя цена]]*cubProducts[[#This Row],[Продано]]*(100% - cubProducts[[#This Row],[Червивость]])</f>
        <v>363.43217687200439</v>
      </c>
      <c r="L36" s="21" t="s">
        <v>233</v>
      </c>
    </row>
    <row r="37" spans="1:12" x14ac:dyDescent="0.25">
      <c r="A37" s="32">
        <f xml:space="preserve"> _xlfn.XLOOKUP(cubProducts[[#This Row],[Month]], tblCalendar[[#Data],[Month]], tblCalendar[[#Data],[Year]])</f>
        <v>2026</v>
      </c>
      <c r="B37" s="32" t="str">
        <f xml:space="preserve"> _xlfn.XLOOKUP(cubProducts[[#This Row],[Month]], tblCalendar[[#Data],[Month]], tblCalendar[[#Data],[Half Year]])</f>
        <v>2026 H1</v>
      </c>
      <c r="C37" s="32" t="str">
        <f xml:space="preserve"> _xlfn.XLOOKUP(cubProducts[[#This Row],[Month]], tblCalendar[[#Data],[Month]], tblCalendar[[#Data],[Quarter]])</f>
        <v>2026 Q2</v>
      </c>
      <c r="D37" s="22">
        <v>46113</v>
      </c>
      <c r="F37" s="21" t="s">
        <v>136</v>
      </c>
      <c r="G37" s="21" t="s">
        <v>157</v>
      </c>
      <c r="H37" s="23">
        <f t="shared" ca="1" si="3"/>
        <v>182</v>
      </c>
      <c r="I37" s="27">
        <f t="shared" ca="1" si="1"/>
        <v>154.14999999999998</v>
      </c>
      <c r="J37" s="26">
        <f t="shared" ca="1" si="4"/>
        <v>0.74012691689634624</v>
      </c>
      <c r="K37" s="27">
        <f ca="1">cubProducts[[#This Row],[Средняя цена]]*cubProducts[[#This Row],[Продано]]*(100% - cubProducts[[#This Row],[Червивость]])</f>
        <v>7290.8173083979364</v>
      </c>
      <c r="L37" s="21" t="s">
        <v>233</v>
      </c>
    </row>
    <row r="38" spans="1:12" x14ac:dyDescent="0.25">
      <c r="A38" s="32">
        <f xml:space="preserve"> _xlfn.XLOOKUP(cubProducts[[#This Row],[Month]], tblCalendar[[#Data],[Month]], tblCalendar[[#Data],[Year]])</f>
        <v>2026</v>
      </c>
      <c r="B38" s="32" t="str">
        <f xml:space="preserve"> _xlfn.XLOOKUP(cubProducts[[#This Row],[Month]], tblCalendar[[#Data],[Month]], tblCalendar[[#Data],[Half Year]])</f>
        <v>2026 H1</v>
      </c>
      <c r="C38" s="32" t="str">
        <f xml:space="preserve"> _xlfn.XLOOKUP(cubProducts[[#This Row],[Month]], tblCalendar[[#Data],[Month]], tblCalendar[[#Data],[Quarter]])</f>
        <v>2026 Q2</v>
      </c>
      <c r="D38" s="22">
        <v>46113</v>
      </c>
      <c r="F38" s="21" t="s">
        <v>136</v>
      </c>
      <c r="G38" s="21" t="s">
        <v>158</v>
      </c>
      <c r="H38" s="23">
        <f t="shared" ca="1" si="3"/>
        <v>101</v>
      </c>
      <c r="I38" s="27">
        <f t="shared" ca="1" si="1"/>
        <v>112.54</v>
      </c>
      <c r="J38" s="26">
        <f t="shared" ca="1" si="4"/>
        <v>0.1155926460673653</v>
      </c>
      <c r="K38" s="27">
        <f ca="1">cubProducts[[#This Row],[Средняя цена]]*cubProducts[[#This Row],[Продано]]*(100% - cubProducts[[#This Row],[Червивость]])</f>
        <v>10052.65156476945</v>
      </c>
      <c r="L38" s="21" t="s">
        <v>233</v>
      </c>
    </row>
    <row r="39" spans="1:12" x14ac:dyDescent="0.25">
      <c r="A39" s="32">
        <f xml:space="preserve"> _xlfn.XLOOKUP(cubProducts[[#This Row],[Month]], tblCalendar[[#Data],[Month]], tblCalendar[[#Data],[Year]])</f>
        <v>2026</v>
      </c>
      <c r="B39" s="32" t="str">
        <f xml:space="preserve"> _xlfn.XLOOKUP(cubProducts[[#This Row],[Month]], tblCalendar[[#Data],[Month]], tblCalendar[[#Data],[Half Year]])</f>
        <v>2026 H1</v>
      </c>
      <c r="C39" s="32" t="str">
        <f xml:space="preserve"> _xlfn.XLOOKUP(cubProducts[[#This Row],[Month]], tblCalendar[[#Data],[Month]], tblCalendar[[#Data],[Quarter]])</f>
        <v>2026 Q2</v>
      </c>
      <c r="D39" s="22">
        <v>46113</v>
      </c>
      <c r="F39" s="21" t="s">
        <v>136</v>
      </c>
      <c r="G39" s="21" t="s">
        <v>159</v>
      </c>
      <c r="H39" s="23">
        <f t="shared" ca="1" si="3"/>
        <v>11</v>
      </c>
      <c r="I39" s="27">
        <f t="shared" ca="1" si="1"/>
        <v>120.19000000000001</v>
      </c>
      <c r="J39" s="26">
        <f t="shared" ca="1" si="4"/>
        <v>0.14226186985656808</v>
      </c>
      <c r="K39" s="27">
        <f ca="1">cubProducts[[#This Row],[Средняя цена]]*cubProducts[[#This Row],[Продано]]*(100% - cubProducts[[#This Row],[Червивость]])</f>
        <v>1134.0070044813301</v>
      </c>
      <c r="L39" s="21" t="s">
        <v>233</v>
      </c>
    </row>
    <row r="40" spans="1:12" x14ac:dyDescent="0.25">
      <c r="A40" s="32">
        <f xml:space="preserve"> _xlfn.XLOOKUP(cubProducts[[#This Row],[Month]], tblCalendar[[#Data],[Month]], tblCalendar[[#Data],[Year]])</f>
        <v>2026</v>
      </c>
      <c r="B40" s="32" t="str">
        <f xml:space="preserve"> _xlfn.XLOOKUP(cubProducts[[#This Row],[Month]], tblCalendar[[#Data],[Month]], tblCalendar[[#Data],[Half Year]])</f>
        <v>2026 H1</v>
      </c>
      <c r="C40" s="32" t="str">
        <f xml:space="preserve"> _xlfn.XLOOKUP(cubProducts[[#This Row],[Month]], tblCalendar[[#Data],[Month]], tblCalendar[[#Data],[Quarter]])</f>
        <v>2026 Q2</v>
      </c>
      <c r="D40" s="22">
        <v>46113</v>
      </c>
      <c r="F40" s="21" t="s">
        <v>137</v>
      </c>
      <c r="G40" s="21" t="s">
        <v>160</v>
      </c>
      <c r="H40" s="23">
        <f t="shared" ca="1" si="3"/>
        <v>158</v>
      </c>
      <c r="I40" s="27">
        <f t="shared" ca="1" si="1"/>
        <v>60.75</v>
      </c>
      <c r="J40" s="26">
        <f t="shared" ca="1" si="4"/>
        <v>0.83872952158416791</v>
      </c>
      <c r="K40" s="27">
        <f ca="1">cubProducts[[#This Row],[Средняя цена]]*cubProducts[[#This Row],[Продано]]*(100% - cubProducts[[#This Row],[Червивость]])</f>
        <v>1547.9546870743643</v>
      </c>
      <c r="L40" s="21" t="s">
        <v>233</v>
      </c>
    </row>
    <row r="41" spans="1:12" x14ac:dyDescent="0.25">
      <c r="A41" s="32">
        <f xml:space="preserve"> _xlfn.XLOOKUP(cubProducts[[#This Row],[Month]], tblCalendar[[#Data],[Month]], tblCalendar[[#Data],[Year]])</f>
        <v>2026</v>
      </c>
      <c r="B41" s="32" t="str">
        <f xml:space="preserve"> _xlfn.XLOOKUP(cubProducts[[#This Row],[Month]], tblCalendar[[#Data],[Month]], tblCalendar[[#Data],[Half Year]])</f>
        <v>2026 H1</v>
      </c>
      <c r="C41" s="32" t="str">
        <f xml:space="preserve"> _xlfn.XLOOKUP(cubProducts[[#This Row],[Month]], tblCalendar[[#Data],[Month]], tblCalendar[[#Data],[Quarter]])</f>
        <v>2026 Q2</v>
      </c>
      <c r="D41" s="22">
        <v>46113</v>
      </c>
      <c r="F41" s="21" t="s">
        <v>137</v>
      </c>
      <c r="G41" s="21" t="s">
        <v>161</v>
      </c>
      <c r="H41" s="23">
        <f t="shared" ca="1" si="3"/>
        <v>172</v>
      </c>
      <c r="I41" s="27">
        <f t="shared" ca="1" si="1"/>
        <v>164.29</v>
      </c>
      <c r="J41" s="26">
        <f t="shared" ca="1" si="4"/>
        <v>0.17171583676644686</v>
      </c>
      <c r="K41" s="27">
        <f ca="1">cubProducts[[#This Row],[Средняя цена]]*cubProducts[[#This Row],[Продано]]*(100% - cubProducts[[#This Row],[Червивость]])</f>
        <v>23405.554490554154</v>
      </c>
      <c r="L41" s="21" t="s">
        <v>233</v>
      </c>
    </row>
    <row r="42" spans="1:12" x14ac:dyDescent="0.25">
      <c r="A42" s="32">
        <f xml:space="preserve"> _xlfn.XLOOKUP(cubProducts[[#This Row],[Month]], tblCalendar[[#Data],[Month]], tblCalendar[[#Data],[Year]])</f>
        <v>2026</v>
      </c>
      <c r="B42" s="32" t="str">
        <f xml:space="preserve"> _xlfn.XLOOKUP(cubProducts[[#This Row],[Month]], tblCalendar[[#Data],[Month]], tblCalendar[[#Data],[Half Year]])</f>
        <v>2026 H1</v>
      </c>
      <c r="C42" s="32" t="str">
        <f xml:space="preserve"> _xlfn.XLOOKUP(cubProducts[[#This Row],[Month]], tblCalendar[[#Data],[Month]], tblCalendar[[#Data],[Quarter]])</f>
        <v>2026 Q2</v>
      </c>
      <c r="D42" s="22">
        <v>46143</v>
      </c>
      <c r="F42" s="21" t="s">
        <v>136</v>
      </c>
      <c r="G42" s="21" t="s">
        <v>157</v>
      </c>
      <c r="H42" s="23">
        <f t="shared" ca="1" si="3"/>
        <v>1</v>
      </c>
      <c r="I42" s="27">
        <f t="shared" ca="1" si="1"/>
        <v>378.15</v>
      </c>
      <c r="J42" s="26">
        <f t="shared" ca="1" si="4"/>
        <v>5.9770793623626917E-3</v>
      </c>
      <c r="K42" s="27">
        <f ca="1">cubProducts[[#This Row],[Средняя цена]]*cubProducts[[#This Row],[Продано]]*(100% - cubProducts[[#This Row],[Червивость]])</f>
        <v>375.88976743912252</v>
      </c>
      <c r="L42" s="21" t="s">
        <v>233</v>
      </c>
    </row>
    <row r="43" spans="1:12" x14ac:dyDescent="0.25">
      <c r="A43" s="32">
        <f xml:space="preserve"> _xlfn.XLOOKUP(cubProducts[[#This Row],[Month]], tblCalendar[[#Data],[Month]], tblCalendar[[#Data],[Year]])</f>
        <v>2026</v>
      </c>
      <c r="B43" s="32" t="str">
        <f xml:space="preserve"> _xlfn.XLOOKUP(cubProducts[[#This Row],[Month]], tblCalendar[[#Data],[Month]], tblCalendar[[#Data],[Half Year]])</f>
        <v>2026 H1</v>
      </c>
      <c r="C43" s="32" t="str">
        <f xml:space="preserve"> _xlfn.XLOOKUP(cubProducts[[#This Row],[Month]], tblCalendar[[#Data],[Month]], tblCalendar[[#Data],[Quarter]])</f>
        <v>2026 Q2</v>
      </c>
      <c r="D43" s="22">
        <v>46143</v>
      </c>
      <c r="F43" s="21" t="s">
        <v>136</v>
      </c>
      <c r="G43" s="21" t="s">
        <v>158</v>
      </c>
      <c r="H43" s="23">
        <f t="shared" ca="1" si="3"/>
        <v>158</v>
      </c>
      <c r="I43" s="27">
        <f t="shared" ca="1" si="1"/>
        <v>314.52</v>
      </c>
      <c r="J43" s="26">
        <f t="shared" ca="1" si="4"/>
        <v>0.31640703542932469</v>
      </c>
      <c r="K43" s="27">
        <f ca="1">cubProducts[[#This Row],[Средняя цена]]*cubProducts[[#This Row],[Продано]]*(100% - cubProducts[[#This Row],[Червивость]])</f>
        <v>33970.578156249467</v>
      </c>
      <c r="L43" s="21" t="s">
        <v>233</v>
      </c>
    </row>
    <row r="44" spans="1:12" x14ac:dyDescent="0.25">
      <c r="A44" s="32">
        <f xml:space="preserve"> _xlfn.XLOOKUP(cubProducts[[#This Row],[Month]], tblCalendar[[#Data],[Month]], tblCalendar[[#Data],[Year]])</f>
        <v>2026</v>
      </c>
      <c r="B44" s="32" t="str">
        <f xml:space="preserve"> _xlfn.XLOOKUP(cubProducts[[#This Row],[Month]], tblCalendar[[#Data],[Month]], tblCalendar[[#Data],[Half Year]])</f>
        <v>2026 H1</v>
      </c>
      <c r="C44" s="32" t="str">
        <f xml:space="preserve"> _xlfn.XLOOKUP(cubProducts[[#This Row],[Month]], tblCalendar[[#Data],[Month]], tblCalendar[[#Data],[Quarter]])</f>
        <v>2026 Q2</v>
      </c>
      <c r="D44" s="22">
        <v>46143</v>
      </c>
      <c r="F44" s="21" t="s">
        <v>136</v>
      </c>
      <c r="G44" s="21" t="s">
        <v>159</v>
      </c>
      <c r="H44" s="23">
        <f t="shared" ca="1" si="3"/>
        <v>67</v>
      </c>
      <c r="I44" s="27">
        <f t="shared" ca="1" si="1"/>
        <v>138.69</v>
      </c>
      <c r="J44" s="26">
        <f t="shared" ca="1" si="4"/>
        <v>0.41578678498561317</v>
      </c>
      <c r="K44" s="27">
        <f ca="1">cubProducts[[#This Row],[Средняя цена]]*cubProducts[[#This Row],[Продано]]*(100% - cubProducts[[#This Row],[Червивость]])</f>
        <v>5428.6435629531352</v>
      </c>
      <c r="L44" s="21" t="s">
        <v>233</v>
      </c>
    </row>
    <row r="45" spans="1:12" x14ac:dyDescent="0.25">
      <c r="A45" s="32">
        <f xml:space="preserve"> _xlfn.XLOOKUP(cubProducts[[#This Row],[Month]], tblCalendar[[#Data],[Month]], tblCalendar[[#Data],[Year]])</f>
        <v>2026</v>
      </c>
      <c r="B45" s="32" t="str">
        <f xml:space="preserve"> _xlfn.XLOOKUP(cubProducts[[#This Row],[Month]], tblCalendar[[#Data],[Month]], tblCalendar[[#Data],[Half Year]])</f>
        <v>2026 H1</v>
      </c>
      <c r="C45" s="32" t="str">
        <f xml:space="preserve"> _xlfn.XLOOKUP(cubProducts[[#This Row],[Month]], tblCalendar[[#Data],[Month]], tblCalendar[[#Data],[Quarter]])</f>
        <v>2026 Q2</v>
      </c>
      <c r="D45" s="22">
        <v>46143</v>
      </c>
      <c r="F45" s="21" t="s">
        <v>137</v>
      </c>
      <c r="G45" s="21" t="s">
        <v>160</v>
      </c>
      <c r="H45" s="23">
        <f t="shared" ca="1" si="3"/>
        <v>159</v>
      </c>
      <c r="I45" s="27">
        <f t="shared" ca="1" si="1"/>
        <v>261.61</v>
      </c>
      <c r="J45" s="26">
        <f t="shared" ca="1" si="4"/>
        <v>0.52248567711655036</v>
      </c>
      <c r="K45" s="27">
        <f ca="1">cubProducts[[#This Row],[Средняя цена]]*cubProducts[[#This Row],[Продано]]*(100% - cubProducts[[#This Row],[Червивость]])</f>
        <v>19862.680999516746</v>
      </c>
      <c r="L45" s="21" t="s">
        <v>233</v>
      </c>
    </row>
    <row r="46" spans="1:12" x14ac:dyDescent="0.25">
      <c r="A46" s="32">
        <f xml:space="preserve"> _xlfn.XLOOKUP(cubProducts[[#This Row],[Month]], tblCalendar[[#Data],[Month]], tblCalendar[[#Data],[Year]])</f>
        <v>2026</v>
      </c>
      <c r="B46" s="32" t="str">
        <f xml:space="preserve"> _xlfn.XLOOKUP(cubProducts[[#This Row],[Month]], tblCalendar[[#Data],[Month]], tblCalendar[[#Data],[Half Year]])</f>
        <v>2026 H1</v>
      </c>
      <c r="C46" s="32" t="str">
        <f xml:space="preserve"> _xlfn.XLOOKUP(cubProducts[[#This Row],[Month]], tblCalendar[[#Data],[Month]], tblCalendar[[#Data],[Quarter]])</f>
        <v>2026 Q2</v>
      </c>
      <c r="D46" s="22">
        <v>46143</v>
      </c>
      <c r="F46" s="21" t="s">
        <v>137</v>
      </c>
      <c r="G46" s="21" t="s">
        <v>161</v>
      </c>
      <c r="H46" s="23">
        <f t="shared" ca="1" si="3"/>
        <v>51</v>
      </c>
      <c r="I46" s="27">
        <f t="shared" ca="1" si="1"/>
        <v>460.38</v>
      </c>
      <c r="J46" s="26">
        <f t="shared" ca="1" si="4"/>
        <v>0.33740795657996792</v>
      </c>
      <c r="K46" s="27">
        <f ca="1">cubProducts[[#This Row],[Средняя цена]]*cubProducts[[#This Row],[Продано]]*(100% - cubProducts[[#This Row],[Червивость]])</f>
        <v>15557.250372435434</v>
      </c>
      <c r="L46" s="21" t="s">
        <v>233</v>
      </c>
    </row>
    <row r="47" spans="1:12" x14ac:dyDescent="0.25">
      <c r="A47" s="32">
        <f xml:space="preserve"> _xlfn.XLOOKUP(cubProducts[[#This Row],[Month]], tblCalendar[[#Data],[Month]], tblCalendar[[#Data],[Year]])</f>
        <v>2026</v>
      </c>
      <c r="B47" s="32" t="str">
        <f xml:space="preserve"> _xlfn.XLOOKUP(cubProducts[[#This Row],[Month]], tblCalendar[[#Data],[Month]], tblCalendar[[#Data],[Half Year]])</f>
        <v>2026 H1</v>
      </c>
      <c r="C47" s="32" t="str">
        <f xml:space="preserve"> _xlfn.XLOOKUP(cubProducts[[#This Row],[Month]], tblCalendar[[#Data],[Month]], tblCalendar[[#Data],[Quarter]])</f>
        <v>2026 Q2</v>
      </c>
      <c r="D47" s="22">
        <v>46174</v>
      </c>
      <c r="F47" s="21" t="s">
        <v>136</v>
      </c>
      <c r="G47" s="21" t="s">
        <v>157</v>
      </c>
      <c r="H47" s="23">
        <f t="shared" ca="1" si="3"/>
        <v>29</v>
      </c>
      <c r="I47" s="27">
        <f t="shared" ca="1" si="1"/>
        <v>45.07</v>
      </c>
      <c r="J47" s="26">
        <f t="shared" ca="1" si="4"/>
        <v>0.81815726061761473</v>
      </c>
      <c r="K47" s="27">
        <f ca="1">cubProducts[[#This Row],[Средняя цена]]*cubProducts[[#This Row],[Продано]]*(100% - cubProducts[[#This Row],[Червивость]])</f>
        <v>237.67391565495902</v>
      </c>
      <c r="L47" s="21" t="s">
        <v>233</v>
      </c>
    </row>
    <row r="48" spans="1:12" x14ac:dyDescent="0.25">
      <c r="A48" s="32">
        <f xml:space="preserve"> _xlfn.XLOOKUP(cubProducts[[#This Row],[Month]], tblCalendar[[#Data],[Month]], tblCalendar[[#Data],[Year]])</f>
        <v>2026</v>
      </c>
      <c r="B48" s="32" t="str">
        <f xml:space="preserve"> _xlfn.XLOOKUP(cubProducts[[#This Row],[Month]], tblCalendar[[#Data],[Month]], tblCalendar[[#Data],[Half Year]])</f>
        <v>2026 H1</v>
      </c>
      <c r="C48" s="32" t="str">
        <f xml:space="preserve"> _xlfn.XLOOKUP(cubProducts[[#This Row],[Month]], tblCalendar[[#Data],[Month]], tblCalendar[[#Data],[Quarter]])</f>
        <v>2026 Q2</v>
      </c>
      <c r="D48" s="22">
        <v>46174</v>
      </c>
      <c r="F48" s="21" t="s">
        <v>136</v>
      </c>
      <c r="G48" s="21" t="s">
        <v>158</v>
      </c>
      <c r="H48" s="23">
        <f t="shared" ca="1" si="3"/>
        <v>82</v>
      </c>
      <c r="I48" s="27">
        <f t="shared" ca="1" si="1"/>
        <v>34.309999999999995</v>
      </c>
      <c r="J48" s="26">
        <f t="shared" ca="1" si="4"/>
        <v>0.98849519195707636</v>
      </c>
      <c r="K48" s="27">
        <f ca="1">cubProducts[[#This Row],[Средняя цена]]*cubProducts[[#This Row],[Продано]]*(100% - cubProducts[[#This Row],[Червивость]])</f>
        <v>32.367857044122232</v>
      </c>
      <c r="L48" s="21" t="s">
        <v>233</v>
      </c>
    </row>
    <row r="49" spans="1:12" x14ac:dyDescent="0.25">
      <c r="A49" s="32">
        <f xml:space="preserve"> _xlfn.XLOOKUP(cubProducts[[#This Row],[Month]], tblCalendar[[#Data],[Month]], tblCalendar[[#Data],[Year]])</f>
        <v>2026</v>
      </c>
      <c r="B49" s="32" t="str">
        <f xml:space="preserve"> _xlfn.XLOOKUP(cubProducts[[#This Row],[Month]], tblCalendar[[#Data],[Month]], tblCalendar[[#Data],[Half Year]])</f>
        <v>2026 H1</v>
      </c>
      <c r="C49" s="32" t="str">
        <f xml:space="preserve"> _xlfn.XLOOKUP(cubProducts[[#This Row],[Month]], tblCalendar[[#Data],[Month]], tblCalendar[[#Data],[Quarter]])</f>
        <v>2026 Q2</v>
      </c>
      <c r="D49" s="22">
        <v>46174</v>
      </c>
      <c r="F49" s="21" t="s">
        <v>136</v>
      </c>
      <c r="G49" s="21" t="s">
        <v>159</v>
      </c>
      <c r="H49" s="23">
        <f t="shared" ca="1" si="3"/>
        <v>50</v>
      </c>
      <c r="I49" s="27">
        <f t="shared" ca="1" si="1"/>
        <v>189.56</v>
      </c>
      <c r="J49" s="26">
        <f t="shared" ca="1" si="4"/>
        <v>0.32348329668450848</v>
      </c>
      <c r="K49" s="27">
        <f ca="1">cubProducts[[#This Row],[Средняя цена]]*cubProducts[[#This Row],[Продано]]*(100% - cubProducts[[#This Row],[Червивость]])</f>
        <v>6412.0253140242285</v>
      </c>
      <c r="L49" s="21" t="s">
        <v>233</v>
      </c>
    </row>
    <row r="50" spans="1:12" x14ac:dyDescent="0.25">
      <c r="A50" s="32">
        <f xml:space="preserve"> _xlfn.XLOOKUP(cubProducts[[#This Row],[Month]], tblCalendar[[#Data],[Month]], tblCalendar[[#Data],[Year]])</f>
        <v>2026</v>
      </c>
      <c r="B50" s="32" t="str">
        <f xml:space="preserve"> _xlfn.XLOOKUP(cubProducts[[#This Row],[Month]], tblCalendar[[#Data],[Month]], tblCalendar[[#Data],[Half Year]])</f>
        <v>2026 H1</v>
      </c>
      <c r="C50" s="32" t="str">
        <f xml:space="preserve"> _xlfn.XLOOKUP(cubProducts[[#This Row],[Month]], tblCalendar[[#Data],[Month]], tblCalendar[[#Data],[Quarter]])</f>
        <v>2026 Q2</v>
      </c>
      <c r="D50" s="22">
        <v>46174</v>
      </c>
      <c r="F50" s="21" t="s">
        <v>137</v>
      </c>
      <c r="G50" s="21" t="s">
        <v>160</v>
      </c>
      <c r="H50" s="23">
        <f t="shared" ca="1" si="3"/>
        <v>185</v>
      </c>
      <c r="I50" s="27">
        <f t="shared" ca="1" si="1"/>
        <v>302.90999999999997</v>
      </c>
      <c r="J50" s="26">
        <f t="shared" ca="1" si="4"/>
        <v>0.66795495951535055</v>
      </c>
      <c r="K50" s="27">
        <f ca="1">cubProducts[[#This Row],[Средняя цена]]*cubProducts[[#This Row],[Продано]]*(100% - cubProducts[[#This Row],[Червивость]])</f>
        <v>18607.256194442951</v>
      </c>
      <c r="L50" s="21" t="s">
        <v>233</v>
      </c>
    </row>
    <row r="51" spans="1:12" x14ac:dyDescent="0.25">
      <c r="A51" s="32">
        <f xml:space="preserve"> _xlfn.XLOOKUP(cubProducts[[#This Row],[Month]], tblCalendar[[#Data],[Month]], tblCalendar[[#Data],[Year]])</f>
        <v>2026</v>
      </c>
      <c r="B51" s="32" t="str">
        <f xml:space="preserve"> _xlfn.XLOOKUP(cubProducts[[#This Row],[Month]], tblCalendar[[#Data],[Month]], tblCalendar[[#Data],[Half Year]])</f>
        <v>2026 H1</v>
      </c>
      <c r="C51" s="32" t="str">
        <f xml:space="preserve"> _xlfn.XLOOKUP(cubProducts[[#This Row],[Month]], tblCalendar[[#Data],[Month]], tblCalendar[[#Data],[Quarter]])</f>
        <v>2026 Q2</v>
      </c>
      <c r="D51" s="22">
        <v>46174</v>
      </c>
      <c r="F51" s="21" t="s">
        <v>137</v>
      </c>
      <c r="G51" s="21" t="s">
        <v>161</v>
      </c>
      <c r="H51" s="23">
        <f t="shared" ca="1" si="3"/>
        <v>121</v>
      </c>
      <c r="I51" s="27">
        <f t="shared" ca="1" si="1"/>
        <v>378.88</v>
      </c>
      <c r="J51" s="26">
        <f t="shared" ca="1" si="4"/>
        <v>0.77214896383838283</v>
      </c>
      <c r="K51" s="27">
        <f ca="1">cubProducts[[#This Row],[Средняя цена]]*cubProducts[[#This Row],[Продано]]*(100% - cubProducts[[#This Row],[Червивость]])</f>
        <v>10445.712270290534</v>
      </c>
      <c r="L51" s="21" t="s">
        <v>233</v>
      </c>
    </row>
    <row r="52" spans="1:12" x14ac:dyDescent="0.25">
      <c r="A52" s="32">
        <f xml:space="preserve"> _xlfn.XLOOKUP(cubProducts[[#This Row],[Month]], tblCalendar[[#Data],[Month]], tblCalendar[[#Data],[Year]])</f>
        <v>2026</v>
      </c>
      <c r="B52" s="32" t="str">
        <f xml:space="preserve"> _xlfn.XLOOKUP(cubProducts[[#This Row],[Month]], tblCalendar[[#Data],[Month]], tblCalendar[[#Data],[Half Year]])</f>
        <v>2026 H2</v>
      </c>
      <c r="C52" s="32" t="str">
        <f xml:space="preserve"> _xlfn.XLOOKUP(cubProducts[[#This Row],[Month]], tblCalendar[[#Data],[Month]], tblCalendar[[#Data],[Quarter]])</f>
        <v>2026 Q3</v>
      </c>
      <c r="D52" s="22">
        <v>46204</v>
      </c>
      <c r="F52" s="21" t="s">
        <v>136</v>
      </c>
      <c r="G52" s="21" t="s">
        <v>157</v>
      </c>
      <c r="H52" s="23">
        <f t="shared" ca="1" si="3"/>
        <v>172</v>
      </c>
      <c r="I52" s="27">
        <f t="shared" ref="I52:I56" ca="1" si="5" xml:space="preserve"> ROUNDUP(10 + RAND() * 500, 2)</f>
        <v>261.33</v>
      </c>
      <c r="J52" s="26">
        <f t="shared" ca="1" si="4"/>
        <v>0.41945271369601522</v>
      </c>
      <c r="K52" s="27">
        <f ca="1">cubProducts[[#This Row],[Средняя цена]]*cubProducts[[#This Row],[Продано]]*(100% - cubProducts[[#This Row],[Червивость]])</f>
        <v>26094.880640729094</v>
      </c>
      <c r="L52" s="21" t="s">
        <v>233</v>
      </c>
    </row>
    <row r="53" spans="1:12" x14ac:dyDescent="0.25">
      <c r="A53" s="32">
        <f xml:space="preserve"> _xlfn.XLOOKUP(cubProducts[[#This Row],[Month]], tblCalendar[[#Data],[Month]], tblCalendar[[#Data],[Year]])</f>
        <v>2026</v>
      </c>
      <c r="B53" s="32" t="str">
        <f xml:space="preserve"> _xlfn.XLOOKUP(cubProducts[[#This Row],[Month]], tblCalendar[[#Data],[Month]], tblCalendar[[#Data],[Half Year]])</f>
        <v>2026 H2</v>
      </c>
      <c r="C53" s="32" t="str">
        <f xml:space="preserve"> _xlfn.XLOOKUP(cubProducts[[#This Row],[Month]], tblCalendar[[#Data],[Month]], tblCalendar[[#Data],[Quarter]])</f>
        <v>2026 Q3</v>
      </c>
      <c r="D53" s="22">
        <v>46204</v>
      </c>
      <c r="F53" s="21" t="s">
        <v>136</v>
      </c>
      <c r="G53" s="21" t="s">
        <v>158</v>
      </c>
      <c r="H53" s="23">
        <f t="shared" ca="1" si="3"/>
        <v>90</v>
      </c>
      <c r="I53" s="27">
        <f t="shared" ca="1" si="5"/>
        <v>405.74</v>
      </c>
      <c r="J53" s="26">
        <f t="shared" ca="1" si="4"/>
        <v>3.0486436389062121E-2</v>
      </c>
      <c r="K53" s="27">
        <f ca="1">cubProducts[[#This Row],[Средняя цена]]*cubProducts[[#This Row],[Продано]]*(100% - cubProducts[[#This Row],[Червивость]])</f>
        <v>35403.338996955172</v>
      </c>
      <c r="L53" s="21" t="s">
        <v>233</v>
      </c>
    </row>
    <row r="54" spans="1:12" x14ac:dyDescent="0.25">
      <c r="A54" s="32">
        <f xml:space="preserve"> _xlfn.XLOOKUP(cubProducts[[#This Row],[Month]], tblCalendar[[#Data],[Month]], tblCalendar[[#Data],[Year]])</f>
        <v>2026</v>
      </c>
      <c r="B54" s="32" t="str">
        <f xml:space="preserve"> _xlfn.XLOOKUP(cubProducts[[#This Row],[Month]], tblCalendar[[#Data],[Month]], tblCalendar[[#Data],[Half Year]])</f>
        <v>2026 H2</v>
      </c>
      <c r="C54" s="32" t="str">
        <f xml:space="preserve"> _xlfn.XLOOKUP(cubProducts[[#This Row],[Month]], tblCalendar[[#Data],[Month]], tblCalendar[[#Data],[Quarter]])</f>
        <v>2026 Q3</v>
      </c>
      <c r="D54" s="22">
        <v>46204</v>
      </c>
      <c r="F54" s="21" t="s">
        <v>136</v>
      </c>
      <c r="G54" s="21" t="s">
        <v>159</v>
      </c>
      <c r="H54" s="23">
        <f t="shared" ca="1" si="3"/>
        <v>7</v>
      </c>
      <c r="I54" s="27">
        <f t="shared" ca="1" si="5"/>
        <v>497.06</v>
      </c>
      <c r="J54" s="26">
        <f t="shared" ca="1" si="4"/>
        <v>5.676299992811018E-2</v>
      </c>
      <c r="K54" s="27">
        <f ca="1">cubProducts[[#This Row],[Средняя цена]]*cubProducts[[#This Row],[Продано]]*(100% - cubProducts[[#This Row],[Червивость]])</f>
        <v>3281.9176827901351</v>
      </c>
      <c r="L54" s="21" t="s">
        <v>233</v>
      </c>
    </row>
    <row r="55" spans="1:12" x14ac:dyDescent="0.25">
      <c r="A55" s="32">
        <f xml:space="preserve"> _xlfn.XLOOKUP(cubProducts[[#This Row],[Month]], tblCalendar[[#Data],[Month]], tblCalendar[[#Data],[Year]])</f>
        <v>2026</v>
      </c>
      <c r="B55" s="32" t="str">
        <f xml:space="preserve"> _xlfn.XLOOKUP(cubProducts[[#This Row],[Month]], tblCalendar[[#Data],[Month]], tblCalendar[[#Data],[Half Year]])</f>
        <v>2026 H2</v>
      </c>
      <c r="C55" s="32" t="str">
        <f xml:space="preserve"> _xlfn.XLOOKUP(cubProducts[[#This Row],[Month]], tblCalendar[[#Data],[Month]], tblCalendar[[#Data],[Quarter]])</f>
        <v>2026 Q3</v>
      </c>
      <c r="D55" s="22">
        <v>46204</v>
      </c>
      <c r="F55" s="21" t="s">
        <v>137</v>
      </c>
      <c r="G55" s="21" t="s">
        <v>160</v>
      </c>
      <c r="H55" s="23">
        <f t="shared" ca="1" si="3"/>
        <v>101</v>
      </c>
      <c r="I55" s="27">
        <f t="shared" ca="1" si="5"/>
        <v>426.07</v>
      </c>
      <c r="J55" s="26">
        <f t="shared" ca="1" si="4"/>
        <v>0.65372321249091381</v>
      </c>
      <c r="K55" s="27">
        <f ca="1">cubProducts[[#This Row],[Средняя цена]]*cubProducts[[#This Row],[Продано]]*(100% - cubProducts[[#This Row],[Червивость]])</f>
        <v>14901.353236253632</v>
      </c>
      <c r="L55" s="21" t="s">
        <v>233</v>
      </c>
    </row>
    <row r="56" spans="1:12" x14ac:dyDescent="0.25">
      <c r="A56" s="32">
        <f xml:space="preserve"> _xlfn.XLOOKUP(cubProducts[[#This Row],[Month]], tblCalendar[[#Data],[Month]], tblCalendar[[#Data],[Year]])</f>
        <v>2026</v>
      </c>
      <c r="B56" s="32" t="str">
        <f xml:space="preserve"> _xlfn.XLOOKUP(cubProducts[[#This Row],[Month]], tblCalendar[[#Data],[Month]], tblCalendar[[#Data],[Half Year]])</f>
        <v>2026 H2</v>
      </c>
      <c r="C56" s="32" t="str">
        <f xml:space="preserve"> _xlfn.XLOOKUP(cubProducts[[#This Row],[Month]], tblCalendar[[#Data],[Month]], tblCalendar[[#Data],[Quarter]])</f>
        <v>2026 Q3</v>
      </c>
      <c r="D56" s="22">
        <v>46204</v>
      </c>
      <c r="F56" s="21" t="s">
        <v>137</v>
      </c>
      <c r="G56" s="21" t="s">
        <v>161</v>
      </c>
      <c r="H56" s="23">
        <f t="shared" ca="1" si="3"/>
        <v>117</v>
      </c>
      <c r="I56" s="27">
        <f t="shared" ca="1" si="5"/>
        <v>454.06</v>
      </c>
      <c r="J56" s="26">
        <f t="shared" ca="1" si="4"/>
        <v>0.87197870274051481</v>
      </c>
      <c r="K56" s="27">
        <f ca="1">cubProducts[[#This Row],[Средняя цена]]*cubProducts[[#This Row],[Продано]]*(100% - cubProducts[[#This Row],[Червивость]])</f>
        <v>6801.1339773360951</v>
      </c>
      <c r="L56" s="21" t="s">
        <v>233</v>
      </c>
    </row>
    <row r="57" spans="1:12" x14ac:dyDescent="0.25">
      <c r="A57" s="32">
        <f xml:space="preserve"> _xlfn.XLOOKUP(cubProducts[[#This Row],[Month]], tblCalendar[[#Data],[Month]], tblCalendar[[#Data],[Year]])</f>
        <v>2026</v>
      </c>
      <c r="B57" s="32" t="str">
        <f xml:space="preserve"> _xlfn.XLOOKUP(cubProducts[[#This Row],[Month]], tblCalendar[[#Data],[Month]], tblCalendar[[#Data],[Half Year]])</f>
        <v>2026 H2</v>
      </c>
      <c r="C57" s="32" t="str">
        <f xml:space="preserve"> _xlfn.XLOOKUP(cubProducts[[#This Row],[Month]], tblCalendar[[#Data],[Month]], tblCalendar[[#Data],[Quarter]])</f>
        <v>2026 Q3</v>
      </c>
      <c r="D57" s="22">
        <v>46235</v>
      </c>
      <c r="F57" s="21" t="s">
        <v>136</v>
      </c>
      <c r="G57" s="21" t="s">
        <v>157</v>
      </c>
      <c r="H57" s="23">
        <f t="shared" ca="1" si="3"/>
        <v>29</v>
      </c>
      <c r="I57" s="27">
        <f t="shared" ref="I57:I61" ca="1" si="6" xml:space="preserve"> ROUNDUP(10 + RAND() * 500, 2)</f>
        <v>402.58</v>
      </c>
      <c r="J57" s="26">
        <f t="shared" ca="1" si="4"/>
        <v>4.4275113312892356E-2</v>
      </c>
      <c r="K57" s="27">
        <f ca="1">cubProducts[[#This Row],[Средняя цена]]*cubProducts[[#This Row],[Продано]]*(100% - cubProducts[[#This Row],[Червивость]])</f>
        <v>11157.916021592378</v>
      </c>
      <c r="L57" s="21" t="s">
        <v>233</v>
      </c>
    </row>
    <row r="58" spans="1:12" x14ac:dyDescent="0.25">
      <c r="A58" s="32">
        <f xml:space="preserve"> _xlfn.XLOOKUP(cubProducts[[#This Row],[Month]], tblCalendar[[#Data],[Month]], tblCalendar[[#Data],[Year]])</f>
        <v>2026</v>
      </c>
      <c r="B58" s="32" t="str">
        <f xml:space="preserve"> _xlfn.XLOOKUP(cubProducts[[#This Row],[Month]], tblCalendar[[#Data],[Month]], tblCalendar[[#Data],[Half Year]])</f>
        <v>2026 H2</v>
      </c>
      <c r="C58" s="32" t="str">
        <f xml:space="preserve"> _xlfn.XLOOKUP(cubProducts[[#This Row],[Month]], tblCalendar[[#Data],[Month]], tblCalendar[[#Data],[Quarter]])</f>
        <v>2026 Q3</v>
      </c>
      <c r="D58" s="22">
        <v>46235</v>
      </c>
      <c r="F58" s="21" t="s">
        <v>136</v>
      </c>
      <c r="G58" s="21" t="s">
        <v>158</v>
      </c>
      <c r="H58" s="23">
        <f t="shared" ca="1" si="3"/>
        <v>76</v>
      </c>
      <c r="I58" s="27">
        <f t="shared" ca="1" si="6"/>
        <v>179.59</v>
      </c>
      <c r="J58" s="26">
        <f t="shared" ca="1" si="4"/>
        <v>0.79308393427064616</v>
      </c>
      <c r="K58" s="27">
        <f ca="1">cubProducts[[#This Row],[Средняя цена]]*cubProducts[[#This Row],[Продано]]*(100% - cubProducts[[#This Row],[Червивость]])</f>
        <v>2824.1642745694339</v>
      </c>
      <c r="L58" s="21" t="s">
        <v>233</v>
      </c>
    </row>
    <row r="59" spans="1:12" x14ac:dyDescent="0.25">
      <c r="A59" s="32">
        <f xml:space="preserve"> _xlfn.XLOOKUP(cubProducts[[#This Row],[Month]], tblCalendar[[#Data],[Month]], tblCalendar[[#Data],[Year]])</f>
        <v>2026</v>
      </c>
      <c r="B59" s="32" t="str">
        <f xml:space="preserve"> _xlfn.XLOOKUP(cubProducts[[#This Row],[Month]], tblCalendar[[#Data],[Month]], tblCalendar[[#Data],[Half Year]])</f>
        <v>2026 H2</v>
      </c>
      <c r="C59" s="32" t="str">
        <f xml:space="preserve"> _xlfn.XLOOKUP(cubProducts[[#This Row],[Month]], tblCalendar[[#Data],[Month]], tblCalendar[[#Data],[Quarter]])</f>
        <v>2026 Q3</v>
      </c>
      <c r="D59" s="22">
        <v>46235</v>
      </c>
      <c r="F59" s="21" t="s">
        <v>136</v>
      </c>
      <c r="G59" s="21" t="s">
        <v>159</v>
      </c>
      <c r="H59" s="23">
        <f t="shared" ca="1" si="3"/>
        <v>16</v>
      </c>
      <c r="I59" s="27">
        <f t="shared" ca="1" si="6"/>
        <v>93.240000000000009</v>
      </c>
      <c r="J59" s="26">
        <f t="shared" ca="1" si="4"/>
        <v>0.61923445408398381</v>
      </c>
      <c r="K59" s="27">
        <f ca="1">cubProducts[[#This Row],[Средняя цена]]*cubProducts[[#This Row],[Продано]]*(100% - cubProducts[[#This Row],[Червивость]])</f>
        <v>568.04127201934966</v>
      </c>
      <c r="L59" s="21" t="s">
        <v>233</v>
      </c>
    </row>
    <row r="60" spans="1:12" x14ac:dyDescent="0.25">
      <c r="A60" s="32">
        <f xml:space="preserve"> _xlfn.XLOOKUP(cubProducts[[#This Row],[Month]], tblCalendar[[#Data],[Month]], tblCalendar[[#Data],[Year]])</f>
        <v>2026</v>
      </c>
      <c r="B60" s="32" t="str">
        <f xml:space="preserve"> _xlfn.XLOOKUP(cubProducts[[#This Row],[Month]], tblCalendar[[#Data],[Month]], tblCalendar[[#Data],[Half Year]])</f>
        <v>2026 H2</v>
      </c>
      <c r="C60" s="32" t="str">
        <f xml:space="preserve"> _xlfn.XLOOKUP(cubProducts[[#This Row],[Month]], tblCalendar[[#Data],[Month]], tblCalendar[[#Data],[Quarter]])</f>
        <v>2026 Q3</v>
      </c>
      <c r="D60" s="22">
        <v>46235</v>
      </c>
      <c r="F60" s="21" t="s">
        <v>137</v>
      </c>
      <c r="G60" s="21" t="s">
        <v>160</v>
      </c>
      <c r="H60" s="23">
        <f t="shared" ca="1" si="3"/>
        <v>190</v>
      </c>
      <c r="I60" s="27">
        <f t="shared" ca="1" si="6"/>
        <v>117.27000000000001</v>
      </c>
      <c r="J60" s="26">
        <f t="shared" ca="1" si="4"/>
        <v>0.88577624668134258</v>
      </c>
      <c r="K60" s="27">
        <f ca="1">cubProducts[[#This Row],[Средняя цена]]*cubProducts[[#This Row],[Продано]]*(100% - cubProducts[[#This Row],[Червивость]])</f>
        <v>2545.0537148190019</v>
      </c>
      <c r="L60" s="21" t="s">
        <v>233</v>
      </c>
    </row>
    <row r="61" spans="1:12" x14ac:dyDescent="0.25">
      <c r="A61" s="32">
        <f xml:space="preserve"> _xlfn.XLOOKUP(cubProducts[[#This Row],[Month]], tblCalendar[[#Data],[Month]], tblCalendar[[#Data],[Year]])</f>
        <v>2026</v>
      </c>
      <c r="B61" s="32" t="str">
        <f xml:space="preserve"> _xlfn.XLOOKUP(cubProducts[[#This Row],[Month]], tblCalendar[[#Data],[Month]], tblCalendar[[#Data],[Half Year]])</f>
        <v>2026 H2</v>
      </c>
      <c r="C61" s="32" t="str">
        <f xml:space="preserve"> _xlfn.XLOOKUP(cubProducts[[#This Row],[Month]], tblCalendar[[#Data],[Month]], tblCalendar[[#Data],[Quarter]])</f>
        <v>2026 Q3</v>
      </c>
      <c r="D61" s="22">
        <v>46235</v>
      </c>
      <c r="F61" s="21" t="s">
        <v>137</v>
      </c>
      <c r="G61" s="21" t="s">
        <v>161</v>
      </c>
      <c r="H61" s="23">
        <f t="shared" ca="1" si="3"/>
        <v>162</v>
      </c>
      <c r="I61" s="27">
        <f t="shared" ca="1" si="6"/>
        <v>44.61</v>
      </c>
      <c r="J61" s="26">
        <f t="shared" ca="1" si="4"/>
        <v>0.20184966466514986</v>
      </c>
      <c r="K61" s="27">
        <f ca="1">cubProducts[[#This Row],[Средняя цена]]*cubProducts[[#This Row],[Продано]]*(100% - cubProducts[[#This Row],[Червивость]])</f>
        <v>5768.0888064046012</v>
      </c>
      <c r="L61" s="21" t="s">
        <v>233</v>
      </c>
    </row>
    <row r="62" spans="1:12" x14ac:dyDescent="0.25">
      <c r="A62" s="32">
        <f xml:space="preserve"> _xlfn.XLOOKUP(cubProducts[[#This Row],[Month]], tblCalendar[[#Data],[Month]], tblCalendar[[#Data],[Year]])</f>
        <v>2025</v>
      </c>
      <c r="B62" s="32" t="str">
        <f xml:space="preserve"> _xlfn.XLOOKUP(cubProducts[[#This Row],[Month]], tblCalendar[[#Data],[Month]], tblCalendar[[#Data],[Half Year]])</f>
        <v>2025 H2</v>
      </c>
      <c r="C62" s="32" t="str">
        <f xml:space="preserve"> _xlfn.XLOOKUP(cubProducts[[#This Row],[Month]], tblCalendar[[#Data],[Month]], tblCalendar[[#Data],[Quarter]])</f>
        <v>2025 Q3</v>
      </c>
      <c r="D62" s="22">
        <v>45901</v>
      </c>
      <c r="F62" s="21" t="s">
        <v>136</v>
      </c>
      <c r="G62" s="21" t="s">
        <v>157</v>
      </c>
      <c r="H62" s="23">
        <f t="shared" ca="1" si="3"/>
        <v>173</v>
      </c>
      <c r="I62" s="27">
        <f t="shared" ref="I62:I66" ca="1" si="7" xml:space="preserve"> ROUNDUP(10 + RAND() * 500, 2)</f>
        <v>233.82</v>
      </c>
      <c r="J62" s="26">
        <f t="shared" ca="1" si="4"/>
        <v>0.92883535556505714</v>
      </c>
      <c r="K62" s="27">
        <f ca="1">cubProducts[[#This Row],[Средняя цена]]*cubProducts[[#This Row],[Продано]]*(100% - cubProducts[[#This Row],[Червивость]])</f>
        <v>2878.6710689876527</v>
      </c>
      <c r="L62" s="21" t="s">
        <v>233</v>
      </c>
    </row>
    <row r="63" spans="1:12" x14ac:dyDescent="0.25">
      <c r="A63" s="32">
        <f xml:space="preserve"> _xlfn.XLOOKUP(cubProducts[[#This Row],[Month]], tblCalendar[[#Data],[Month]], tblCalendar[[#Data],[Year]])</f>
        <v>2025</v>
      </c>
      <c r="B63" s="32" t="str">
        <f xml:space="preserve"> _xlfn.XLOOKUP(cubProducts[[#This Row],[Month]], tblCalendar[[#Data],[Month]], tblCalendar[[#Data],[Half Year]])</f>
        <v>2025 H2</v>
      </c>
      <c r="C63" s="32" t="str">
        <f xml:space="preserve"> _xlfn.XLOOKUP(cubProducts[[#This Row],[Month]], tblCalendar[[#Data],[Month]], tblCalendar[[#Data],[Quarter]])</f>
        <v>2025 Q3</v>
      </c>
      <c r="D63" s="22">
        <v>45901</v>
      </c>
      <c r="F63" s="21" t="s">
        <v>136</v>
      </c>
      <c r="G63" s="21" t="s">
        <v>158</v>
      </c>
      <c r="H63" s="23">
        <f t="shared" ca="1" si="3"/>
        <v>151</v>
      </c>
      <c r="I63" s="27">
        <f t="shared" ca="1" si="7"/>
        <v>232.89999999999998</v>
      </c>
      <c r="J63" s="26">
        <f t="shared" ca="1" si="4"/>
        <v>0.30405652948308293</v>
      </c>
      <c r="K63" s="27">
        <f ca="1">cubProducts[[#This Row],[Средняя цена]]*cubProducts[[#This Row],[Продано]]*(100% - cubProducts[[#This Row],[Червивость]])</f>
        <v>24474.870376791885</v>
      </c>
      <c r="L63" s="21" t="s">
        <v>233</v>
      </c>
    </row>
    <row r="64" spans="1:12" x14ac:dyDescent="0.25">
      <c r="A64" s="32">
        <f xml:space="preserve"> _xlfn.XLOOKUP(cubProducts[[#This Row],[Month]], tblCalendar[[#Data],[Month]], tblCalendar[[#Data],[Year]])</f>
        <v>2025</v>
      </c>
      <c r="B64" s="32" t="str">
        <f xml:space="preserve"> _xlfn.XLOOKUP(cubProducts[[#This Row],[Month]], tblCalendar[[#Data],[Month]], tblCalendar[[#Data],[Half Year]])</f>
        <v>2025 H2</v>
      </c>
      <c r="C64" s="32" t="str">
        <f xml:space="preserve"> _xlfn.XLOOKUP(cubProducts[[#This Row],[Month]], tblCalendar[[#Data],[Month]], tblCalendar[[#Data],[Quarter]])</f>
        <v>2025 Q3</v>
      </c>
      <c r="D64" s="22">
        <v>45901</v>
      </c>
      <c r="F64" s="21" t="s">
        <v>136</v>
      </c>
      <c r="G64" s="21" t="s">
        <v>159</v>
      </c>
      <c r="H64" s="23">
        <f t="shared" ca="1" si="3"/>
        <v>28</v>
      </c>
      <c r="I64" s="27">
        <f t="shared" ca="1" si="7"/>
        <v>86.31</v>
      </c>
      <c r="J64" s="26">
        <f t="shared" ca="1" si="4"/>
        <v>0.39854429766736998</v>
      </c>
      <c r="K64" s="27">
        <f ca="1">cubProducts[[#This Row],[Средняя цена]]*cubProducts[[#This Row],[Продано]]*(100% - cubProducts[[#This Row],[Червивость]])</f>
        <v>1453.5259667132204</v>
      </c>
      <c r="L64" s="21" t="s">
        <v>233</v>
      </c>
    </row>
    <row r="65" spans="1:12" x14ac:dyDescent="0.25">
      <c r="A65" s="32">
        <f xml:space="preserve"> _xlfn.XLOOKUP(cubProducts[[#This Row],[Month]], tblCalendar[[#Data],[Month]], tblCalendar[[#Data],[Year]])</f>
        <v>2025</v>
      </c>
      <c r="B65" s="32" t="str">
        <f xml:space="preserve"> _xlfn.XLOOKUP(cubProducts[[#This Row],[Month]], tblCalendar[[#Data],[Month]], tblCalendar[[#Data],[Half Year]])</f>
        <v>2025 H2</v>
      </c>
      <c r="C65" s="32" t="str">
        <f xml:space="preserve"> _xlfn.XLOOKUP(cubProducts[[#This Row],[Month]], tblCalendar[[#Data],[Month]], tblCalendar[[#Data],[Quarter]])</f>
        <v>2025 Q3</v>
      </c>
      <c r="D65" s="22">
        <v>45901</v>
      </c>
      <c r="F65" s="21" t="s">
        <v>137</v>
      </c>
      <c r="G65" s="21" t="s">
        <v>160</v>
      </c>
      <c r="H65" s="23">
        <f t="shared" ca="1" si="3"/>
        <v>163</v>
      </c>
      <c r="I65" s="27">
        <f t="shared" ca="1" si="7"/>
        <v>310.39999999999998</v>
      </c>
      <c r="J65" s="26">
        <f t="shared" ca="1" si="4"/>
        <v>0.69921885851059962</v>
      </c>
      <c r="K65" s="27">
        <f ca="1">cubProducts[[#This Row],[Средняя цена]]*cubProducts[[#This Row],[Продано]]*(100% - cubProducts[[#This Row],[Червивость]])</f>
        <v>15218.082009884509</v>
      </c>
      <c r="L65" s="21" t="s">
        <v>233</v>
      </c>
    </row>
    <row r="66" spans="1:12" x14ac:dyDescent="0.25">
      <c r="A66" s="32">
        <f xml:space="preserve"> _xlfn.XLOOKUP(cubProducts[[#This Row],[Month]], tblCalendar[[#Data],[Month]], tblCalendar[[#Data],[Year]])</f>
        <v>2025</v>
      </c>
      <c r="B66" s="32" t="str">
        <f xml:space="preserve"> _xlfn.XLOOKUP(cubProducts[[#This Row],[Month]], tblCalendar[[#Data],[Month]], tblCalendar[[#Data],[Half Year]])</f>
        <v>2025 H2</v>
      </c>
      <c r="C66" s="32" t="str">
        <f xml:space="preserve"> _xlfn.XLOOKUP(cubProducts[[#This Row],[Month]], tblCalendar[[#Data],[Month]], tblCalendar[[#Data],[Quarter]])</f>
        <v>2025 Q3</v>
      </c>
      <c r="D66" s="22">
        <v>45901</v>
      </c>
      <c r="F66" s="21" t="s">
        <v>137</v>
      </c>
      <c r="G66" s="21" t="s">
        <v>161</v>
      </c>
      <c r="H66" s="23">
        <f t="shared" ref="H66:H97" ca="1" si="8" xml:space="preserve"> RANDBETWEEN(0,200)</f>
        <v>27</v>
      </c>
      <c r="I66" s="27">
        <f t="shared" ca="1" si="7"/>
        <v>374.39</v>
      </c>
      <c r="J66" s="26">
        <f t="shared" ca="1" si="4"/>
        <v>0.37201145571753536</v>
      </c>
      <c r="K66" s="27">
        <f ca="1">cubProducts[[#This Row],[Средняя цена]]*cubProducts[[#This Row],[Продано]]*(100% - cubProducts[[#This Row],[Червивость]])</f>
        <v>6348.0410395356212</v>
      </c>
      <c r="L66" s="21" t="s">
        <v>233</v>
      </c>
    </row>
    <row r="67" spans="1:12" x14ac:dyDescent="0.25">
      <c r="A67" s="32">
        <f xml:space="preserve"> _xlfn.XLOOKUP(cubProducts[[#This Row],[Month]], tblCalendar[[#Data],[Month]], tblCalendar[[#Data],[Year]])</f>
        <v>2026</v>
      </c>
      <c r="B67" s="32" t="str">
        <f xml:space="preserve"> _xlfn.XLOOKUP(cubProducts[[#This Row],[Month]], tblCalendar[[#Data],[Month]], tblCalendar[[#Data],[Half Year]])</f>
        <v>2026 H2</v>
      </c>
      <c r="C67" s="32" t="str">
        <f xml:space="preserve"> _xlfn.XLOOKUP(cubProducts[[#This Row],[Month]], tblCalendar[[#Data],[Month]], tblCalendar[[#Data],[Quarter]])</f>
        <v>2026 Q4</v>
      </c>
      <c r="D67" s="22">
        <v>46296</v>
      </c>
      <c r="F67" s="21" t="s">
        <v>136</v>
      </c>
      <c r="G67" s="21" t="s">
        <v>157</v>
      </c>
      <c r="H67" s="23">
        <f t="shared" ca="1" si="8"/>
        <v>45</v>
      </c>
      <c r="I67" s="27">
        <f ca="1" xml:space="preserve"> ROUNDUP(10 + RAND() * 500, 2)</f>
        <v>17.89</v>
      </c>
      <c r="J67" s="26">
        <f ca="1" xml:space="preserve"> RAND() * 100%</f>
        <v>1.6137048746133753E-2</v>
      </c>
      <c r="K67" s="27">
        <f ca="1">cubProducts[[#This Row],[Средняя цена]]*cubProducts[[#This Row],[Продано]]*(100% - cubProducts[[#This Row],[Червивость]])</f>
        <v>792.05886890692511</v>
      </c>
      <c r="L67" s="21" t="s">
        <v>233</v>
      </c>
    </row>
    <row r="68" spans="1:12" x14ac:dyDescent="0.25">
      <c r="A68" s="32">
        <f xml:space="preserve"> _xlfn.XLOOKUP(cubProducts[[#This Row],[Month]], tblCalendar[[#Data],[Month]], tblCalendar[[#Data],[Year]])</f>
        <v>2026</v>
      </c>
      <c r="B68" s="32" t="str">
        <f xml:space="preserve"> _xlfn.XLOOKUP(cubProducts[[#This Row],[Month]], tblCalendar[[#Data],[Month]], tblCalendar[[#Data],[Half Year]])</f>
        <v>2026 H2</v>
      </c>
      <c r="C68" s="32" t="str">
        <f xml:space="preserve"> _xlfn.XLOOKUP(cubProducts[[#This Row],[Month]], tblCalendar[[#Data],[Month]], tblCalendar[[#Data],[Quarter]])</f>
        <v>2026 Q4</v>
      </c>
      <c r="D68" s="22">
        <v>46296</v>
      </c>
      <c r="F68" s="21" t="s">
        <v>136</v>
      </c>
      <c r="G68" s="21" t="s">
        <v>158</v>
      </c>
      <c r="H68" s="23">
        <f t="shared" ca="1" si="8"/>
        <v>148</v>
      </c>
      <c r="I68" s="27">
        <f t="shared" ref="I68:I71" ca="1" si="9" xml:space="preserve"> ROUNDUP(10 + RAND() * 500, 2)</f>
        <v>453.93</v>
      </c>
      <c r="J68" s="26">
        <f t="shared" ref="J68:J71" ca="1" si="10" xml:space="preserve"> RAND() * 100%</f>
        <v>0.77892762164699214</v>
      </c>
      <c r="K68" s="27">
        <f ca="1">cubProducts[[#This Row],[Средняя цена]]*cubProducts[[#This Row],[Продано]]*(100% - cubProducts[[#This Row],[Червивость]])</f>
        <v>14852.004936455567</v>
      </c>
      <c r="L68" s="21" t="s">
        <v>233</v>
      </c>
    </row>
    <row r="69" spans="1:12" x14ac:dyDescent="0.25">
      <c r="A69" s="32">
        <f xml:space="preserve"> _xlfn.XLOOKUP(cubProducts[[#This Row],[Month]], tblCalendar[[#Data],[Month]], tblCalendar[[#Data],[Year]])</f>
        <v>2026</v>
      </c>
      <c r="B69" s="32" t="str">
        <f xml:space="preserve"> _xlfn.XLOOKUP(cubProducts[[#This Row],[Month]], tblCalendar[[#Data],[Month]], tblCalendar[[#Data],[Half Year]])</f>
        <v>2026 H2</v>
      </c>
      <c r="C69" s="32" t="str">
        <f xml:space="preserve"> _xlfn.XLOOKUP(cubProducts[[#This Row],[Month]], tblCalendar[[#Data],[Month]], tblCalendar[[#Data],[Quarter]])</f>
        <v>2026 Q4</v>
      </c>
      <c r="D69" s="22">
        <v>46296</v>
      </c>
      <c r="F69" s="21" t="s">
        <v>136</v>
      </c>
      <c r="G69" s="21" t="s">
        <v>159</v>
      </c>
      <c r="H69" s="23">
        <f t="shared" ca="1" si="8"/>
        <v>102</v>
      </c>
      <c r="I69" s="27">
        <f t="shared" ca="1" si="9"/>
        <v>262.08</v>
      </c>
      <c r="J69" s="26">
        <f t="shared" ca="1" si="10"/>
        <v>7.8696645659566467E-2</v>
      </c>
      <c r="K69" s="27">
        <f ca="1">cubProducts[[#This Row],[Средняя цена]]*cubProducts[[#This Row],[Продано]]*(100% - cubProducts[[#This Row],[Червивость]])</f>
        <v>24628.428676765165</v>
      </c>
      <c r="L69" s="21" t="s">
        <v>233</v>
      </c>
    </row>
    <row r="70" spans="1:12" x14ac:dyDescent="0.25">
      <c r="A70" s="32">
        <f xml:space="preserve"> _xlfn.XLOOKUP(cubProducts[[#This Row],[Month]], tblCalendar[[#Data],[Month]], tblCalendar[[#Data],[Year]])</f>
        <v>2026</v>
      </c>
      <c r="B70" s="32" t="str">
        <f xml:space="preserve"> _xlfn.XLOOKUP(cubProducts[[#This Row],[Month]], tblCalendar[[#Data],[Month]], tblCalendar[[#Data],[Half Year]])</f>
        <v>2026 H2</v>
      </c>
      <c r="C70" s="32" t="str">
        <f xml:space="preserve"> _xlfn.XLOOKUP(cubProducts[[#This Row],[Month]], tblCalendar[[#Data],[Month]], tblCalendar[[#Data],[Quarter]])</f>
        <v>2026 Q4</v>
      </c>
      <c r="D70" s="22">
        <v>46296</v>
      </c>
      <c r="F70" s="21" t="s">
        <v>137</v>
      </c>
      <c r="G70" s="21" t="s">
        <v>160</v>
      </c>
      <c r="H70" s="23">
        <f t="shared" ca="1" si="8"/>
        <v>42</v>
      </c>
      <c r="I70" s="27">
        <f t="shared" ca="1" si="9"/>
        <v>40.51</v>
      </c>
      <c r="J70" s="26">
        <f t="shared" ca="1" si="10"/>
        <v>0.35845709681167526</v>
      </c>
      <c r="K70" s="27">
        <f ca="1">cubProducts[[#This Row],[Средняя цена]]*cubProducts[[#This Row],[Продано]]*(100% - cubProducts[[#This Row],[Червивость]])</f>
        <v>1091.5339263426795</v>
      </c>
      <c r="L70" s="21" t="s">
        <v>233</v>
      </c>
    </row>
    <row r="71" spans="1:12" x14ac:dyDescent="0.25">
      <c r="A71" s="32">
        <f xml:space="preserve"> _xlfn.XLOOKUP(cubProducts[[#This Row],[Month]], tblCalendar[[#Data],[Month]], tblCalendar[[#Data],[Year]])</f>
        <v>2026</v>
      </c>
      <c r="B71" s="32" t="str">
        <f xml:space="preserve"> _xlfn.XLOOKUP(cubProducts[[#This Row],[Month]], tblCalendar[[#Data],[Month]], tblCalendar[[#Data],[Half Year]])</f>
        <v>2026 H2</v>
      </c>
      <c r="C71" s="32" t="str">
        <f xml:space="preserve"> _xlfn.XLOOKUP(cubProducts[[#This Row],[Month]], tblCalendar[[#Data],[Month]], tblCalendar[[#Data],[Quarter]])</f>
        <v>2026 Q4</v>
      </c>
      <c r="D71" s="22">
        <v>46296</v>
      </c>
      <c r="F71" s="21" t="s">
        <v>137</v>
      </c>
      <c r="G71" s="21" t="s">
        <v>161</v>
      </c>
      <c r="H71" s="23">
        <f t="shared" ca="1" si="8"/>
        <v>2</v>
      </c>
      <c r="I71" s="27">
        <f t="shared" ca="1" si="9"/>
        <v>128.53</v>
      </c>
      <c r="J71" s="26">
        <f t="shared" ca="1" si="10"/>
        <v>0.70836067065522423</v>
      </c>
      <c r="K71" s="27">
        <f ca="1">cubProducts[[#This Row],[Средняя цена]]*cubProducts[[#This Row],[Продано]]*(100% - cubProducts[[#This Row],[Червивость]])</f>
        <v>74.968806001368065</v>
      </c>
      <c r="L71" s="21" t="s">
        <v>233</v>
      </c>
    </row>
    <row r="72" spans="1:12" x14ac:dyDescent="0.25">
      <c r="A72" s="32">
        <f xml:space="preserve"> _xlfn.XLOOKUP(cubProducts[[#This Row],[Month]], tblCalendar[[#Data],[Month]], tblCalendar[[#Data],[Year]])</f>
        <v>2026</v>
      </c>
      <c r="B72" s="32" t="str">
        <f xml:space="preserve"> _xlfn.XLOOKUP(cubProducts[[#This Row],[Month]], tblCalendar[[#Data],[Month]], tblCalendar[[#Data],[Half Year]])</f>
        <v>2026 H2</v>
      </c>
      <c r="C72" s="32" t="str">
        <f xml:space="preserve"> _xlfn.XLOOKUP(cubProducts[[#This Row],[Month]], tblCalendar[[#Data],[Month]], tblCalendar[[#Data],[Quarter]])</f>
        <v>2026 Q4</v>
      </c>
      <c r="D72" s="22">
        <v>46327</v>
      </c>
      <c r="F72" s="21" t="s">
        <v>136</v>
      </c>
      <c r="G72" s="21" t="s">
        <v>157</v>
      </c>
      <c r="H72" s="23">
        <f t="shared" ca="1" si="8"/>
        <v>187</v>
      </c>
      <c r="I72" s="27">
        <f ca="1" xml:space="preserve"> ROUNDUP(10 + RAND() * 500, 2)</f>
        <v>170.14999999999998</v>
      </c>
      <c r="J72" s="26">
        <f ca="1" xml:space="preserve"> RAND() * 100%</f>
        <v>0.25669904622277961</v>
      </c>
      <c r="K72" s="27">
        <f ca="1">cubProducts[[#This Row],[Средняя цена]]*cubProducts[[#This Row],[Продано]]*(100% - cubProducts[[#This Row],[Червивость]])</f>
        <v>23650.386912331283</v>
      </c>
      <c r="L72" s="21" t="s">
        <v>233</v>
      </c>
    </row>
    <row r="73" spans="1:12" x14ac:dyDescent="0.25">
      <c r="A73" s="32">
        <f xml:space="preserve"> _xlfn.XLOOKUP(cubProducts[[#This Row],[Month]], tblCalendar[[#Data],[Month]], tblCalendar[[#Data],[Year]])</f>
        <v>2026</v>
      </c>
      <c r="B73" s="32" t="str">
        <f xml:space="preserve"> _xlfn.XLOOKUP(cubProducts[[#This Row],[Month]], tblCalendar[[#Data],[Month]], tblCalendar[[#Data],[Half Year]])</f>
        <v>2026 H2</v>
      </c>
      <c r="C73" s="32" t="str">
        <f xml:space="preserve"> _xlfn.XLOOKUP(cubProducts[[#This Row],[Month]], tblCalendar[[#Data],[Month]], tblCalendar[[#Data],[Quarter]])</f>
        <v>2026 Q4</v>
      </c>
      <c r="D73" s="22">
        <v>46327</v>
      </c>
      <c r="F73" s="21" t="s">
        <v>136</v>
      </c>
      <c r="G73" s="21" t="s">
        <v>158</v>
      </c>
      <c r="H73" s="23">
        <f t="shared" ca="1" si="8"/>
        <v>49</v>
      </c>
      <c r="I73" s="27">
        <f t="shared" ref="I73:I76" ca="1" si="11" xml:space="preserve"> ROUNDUP(10 + RAND() * 500, 2)</f>
        <v>474.53</v>
      </c>
      <c r="J73" s="26">
        <f t="shared" ref="J73:J76" ca="1" si="12" xml:space="preserve"> RAND() * 100%</f>
        <v>0.88541483693018386</v>
      </c>
      <c r="K73" s="27">
        <f ca="1">cubProducts[[#This Row],[Средняя цена]]*cubProducts[[#This Row],[Продано]]*(100% - cubProducts[[#This Row],[Червивость]])</f>
        <v>2664.3307741444728</v>
      </c>
      <c r="L73" s="21" t="s">
        <v>233</v>
      </c>
    </row>
    <row r="74" spans="1:12" x14ac:dyDescent="0.25">
      <c r="A74" s="32">
        <f xml:space="preserve"> _xlfn.XLOOKUP(cubProducts[[#This Row],[Month]], tblCalendar[[#Data],[Month]], tblCalendar[[#Data],[Year]])</f>
        <v>2026</v>
      </c>
      <c r="B74" s="32" t="str">
        <f xml:space="preserve"> _xlfn.XLOOKUP(cubProducts[[#This Row],[Month]], tblCalendar[[#Data],[Month]], tblCalendar[[#Data],[Half Year]])</f>
        <v>2026 H2</v>
      </c>
      <c r="C74" s="32" t="str">
        <f xml:space="preserve"> _xlfn.XLOOKUP(cubProducts[[#This Row],[Month]], tblCalendar[[#Data],[Month]], tblCalendar[[#Data],[Quarter]])</f>
        <v>2026 Q4</v>
      </c>
      <c r="D74" s="22">
        <v>46327</v>
      </c>
      <c r="F74" s="21" t="s">
        <v>136</v>
      </c>
      <c r="G74" s="21" t="s">
        <v>159</v>
      </c>
      <c r="H74" s="23">
        <f t="shared" ca="1" si="8"/>
        <v>41</v>
      </c>
      <c r="I74" s="27">
        <f t="shared" ca="1" si="11"/>
        <v>22.01</v>
      </c>
      <c r="J74" s="26">
        <f t="shared" ca="1" si="12"/>
        <v>0.32965941118191522</v>
      </c>
      <c r="K74" s="27">
        <f ca="1">cubProducts[[#This Row],[Средняя цена]]*cubProducts[[#This Row],[Продано]]*(100% - cubProducts[[#This Row],[Червивость]])</f>
        <v>604.92205075532797</v>
      </c>
      <c r="L74" s="21" t="s">
        <v>233</v>
      </c>
    </row>
    <row r="75" spans="1:12" x14ac:dyDescent="0.25">
      <c r="A75" s="32">
        <f xml:space="preserve"> _xlfn.XLOOKUP(cubProducts[[#This Row],[Month]], tblCalendar[[#Data],[Month]], tblCalendar[[#Data],[Year]])</f>
        <v>2026</v>
      </c>
      <c r="B75" s="32" t="str">
        <f xml:space="preserve"> _xlfn.XLOOKUP(cubProducts[[#This Row],[Month]], tblCalendar[[#Data],[Month]], tblCalendar[[#Data],[Half Year]])</f>
        <v>2026 H2</v>
      </c>
      <c r="C75" s="32" t="str">
        <f xml:space="preserve"> _xlfn.XLOOKUP(cubProducts[[#This Row],[Month]], tblCalendar[[#Data],[Month]], tblCalendar[[#Data],[Quarter]])</f>
        <v>2026 Q4</v>
      </c>
      <c r="D75" s="22">
        <v>46327</v>
      </c>
      <c r="F75" s="21" t="s">
        <v>137</v>
      </c>
      <c r="G75" s="21" t="s">
        <v>160</v>
      </c>
      <c r="H75" s="23">
        <f t="shared" ca="1" si="8"/>
        <v>90</v>
      </c>
      <c r="I75" s="27">
        <f t="shared" ca="1" si="11"/>
        <v>86.04</v>
      </c>
      <c r="J75" s="26">
        <f t="shared" ca="1" si="12"/>
        <v>0.70374801792849428</v>
      </c>
      <c r="K75" s="27">
        <f ca="1">cubProducts[[#This Row],[Средняя цена]]*cubProducts[[#This Row],[Продано]]*(100% - cubProducts[[#This Row],[Червивость]])</f>
        <v>2294.0568483689117</v>
      </c>
      <c r="L75" s="21" t="s">
        <v>233</v>
      </c>
    </row>
    <row r="76" spans="1:12" x14ac:dyDescent="0.25">
      <c r="A76" s="32">
        <f xml:space="preserve"> _xlfn.XLOOKUP(cubProducts[[#This Row],[Month]], tblCalendar[[#Data],[Month]], tblCalendar[[#Data],[Year]])</f>
        <v>2026</v>
      </c>
      <c r="B76" s="32" t="str">
        <f xml:space="preserve"> _xlfn.XLOOKUP(cubProducts[[#This Row],[Month]], tblCalendar[[#Data],[Month]], tblCalendar[[#Data],[Half Year]])</f>
        <v>2026 H2</v>
      </c>
      <c r="C76" s="32" t="str">
        <f xml:space="preserve"> _xlfn.XLOOKUP(cubProducts[[#This Row],[Month]], tblCalendar[[#Data],[Month]], tblCalendar[[#Data],[Quarter]])</f>
        <v>2026 Q4</v>
      </c>
      <c r="D76" s="22">
        <v>46327</v>
      </c>
      <c r="F76" s="21" t="s">
        <v>137</v>
      </c>
      <c r="G76" s="21" t="s">
        <v>161</v>
      </c>
      <c r="H76" s="23">
        <f t="shared" ca="1" si="8"/>
        <v>57</v>
      </c>
      <c r="I76" s="27">
        <f t="shared" ca="1" si="11"/>
        <v>267.78999999999996</v>
      </c>
      <c r="J76" s="26">
        <f t="shared" ca="1" si="12"/>
        <v>0.25178061144264585</v>
      </c>
      <c r="K76" s="27">
        <f ca="1">cubProducts[[#This Row],[Средняя цена]]*cubProducts[[#This Row],[Продано]]*(100% - cubProducts[[#This Row],[Червивость]])</f>
        <v>11420.84319352111</v>
      </c>
      <c r="L76" s="21" t="s">
        <v>233</v>
      </c>
    </row>
    <row r="77" spans="1:12" x14ac:dyDescent="0.25">
      <c r="A77" s="32">
        <f xml:space="preserve"> _xlfn.XLOOKUP(cubProducts[[#This Row],[Month]], tblCalendar[[#Data],[Month]], tblCalendar[[#Data],[Year]])</f>
        <v>2026</v>
      </c>
      <c r="B77" s="32" t="str">
        <f xml:space="preserve"> _xlfn.XLOOKUP(cubProducts[[#This Row],[Month]], tblCalendar[[#Data],[Month]], tblCalendar[[#Data],[Half Year]])</f>
        <v>2026 H2</v>
      </c>
      <c r="C77" s="32" t="str">
        <f xml:space="preserve"> _xlfn.XLOOKUP(cubProducts[[#This Row],[Month]], tblCalendar[[#Data],[Month]], tblCalendar[[#Data],[Quarter]])</f>
        <v>2026 Q4</v>
      </c>
      <c r="D77" s="22">
        <v>46357</v>
      </c>
      <c r="F77" s="21" t="s">
        <v>136</v>
      </c>
      <c r="G77" s="21" t="s">
        <v>157</v>
      </c>
      <c r="H77" s="23">
        <f t="shared" ca="1" si="8"/>
        <v>39</v>
      </c>
      <c r="I77" s="27">
        <f t="shared" ref="I77:I81" ca="1" si="13" xml:space="preserve"> ROUNDUP(10 + RAND() * 500, 2)</f>
        <v>273.78999999999996</v>
      </c>
      <c r="J77" s="26">
        <f t="shared" ref="J77:J81" ca="1" si="14" xml:space="preserve"> RAND() * 100%</f>
        <v>0.88181461983066434</v>
      </c>
      <c r="K77" s="27">
        <f ca="1">cubProducts[[#This Row],[Средняя цена]]*cubProducts[[#This Row],[Продано]]*(100% - cubProducts[[#This Row],[Червивость]])</f>
        <v>1261.9610342259339</v>
      </c>
      <c r="L77" s="21" t="s">
        <v>233</v>
      </c>
    </row>
    <row r="78" spans="1:12" x14ac:dyDescent="0.25">
      <c r="A78" s="32">
        <f xml:space="preserve"> _xlfn.XLOOKUP(cubProducts[[#This Row],[Month]], tblCalendar[[#Data],[Month]], tblCalendar[[#Data],[Year]])</f>
        <v>2026</v>
      </c>
      <c r="B78" s="32" t="str">
        <f xml:space="preserve"> _xlfn.XLOOKUP(cubProducts[[#This Row],[Month]], tblCalendar[[#Data],[Month]], tblCalendar[[#Data],[Half Year]])</f>
        <v>2026 H2</v>
      </c>
      <c r="C78" s="32" t="str">
        <f xml:space="preserve"> _xlfn.XLOOKUP(cubProducts[[#This Row],[Month]], tblCalendar[[#Data],[Month]], tblCalendar[[#Data],[Quarter]])</f>
        <v>2026 Q4</v>
      </c>
      <c r="D78" s="22">
        <v>46357</v>
      </c>
      <c r="F78" s="21" t="s">
        <v>136</v>
      </c>
      <c r="G78" s="21" t="s">
        <v>158</v>
      </c>
      <c r="H78" s="23">
        <f t="shared" ca="1" si="8"/>
        <v>171</v>
      </c>
      <c r="I78" s="27">
        <f t="shared" ca="1" si="13"/>
        <v>201.37</v>
      </c>
      <c r="J78" s="26">
        <f t="shared" ca="1" si="14"/>
        <v>0.79802841016064729</v>
      </c>
      <c r="K78" s="27">
        <f ca="1">cubProducts[[#This Row],[Средняя цена]]*cubProducts[[#This Row],[Продано]]*(100% - cubProducts[[#This Row],[Червивость]])</f>
        <v>6954.7442568575289</v>
      </c>
      <c r="L78" s="21" t="s">
        <v>233</v>
      </c>
    </row>
    <row r="79" spans="1:12" x14ac:dyDescent="0.25">
      <c r="A79" s="32">
        <f xml:space="preserve"> _xlfn.XLOOKUP(cubProducts[[#This Row],[Month]], tblCalendar[[#Data],[Month]], tblCalendar[[#Data],[Year]])</f>
        <v>2026</v>
      </c>
      <c r="B79" s="32" t="str">
        <f xml:space="preserve"> _xlfn.XLOOKUP(cubProducts[[#This Row],[Month]], tblCalendar[[#Data],[Month]], tblCalendar[[#Data],[Half Year]])</f>
        <v>2026 H2</v>
      </c>
      <c r="C79" s="32" t="str">
        <f xml:space="preserve"> _xlfn.XLOOKUP(cubProducts[[#This Row],[Month]], tblCalendar[[#Data],[Month]], tblCalendar[[#Data],[Quarter]])</f>
        <v>2026 Q4</v>
      </c>
      <c r="D79" s="22">
        <v>46357</v>
      </c>
      <c r="F79" s="21" t="s">
        <v>136</v>
      </c>
      <c r="G79" s="21" t="s">
        <v>159</v>
      </c>
      <c r="H79" s="23">
        <f t="shared" ca="1" si="8"/>
        <v>196</v>
      </c>
      <c r="I79" s="27">
        <f t="shared" ca="1" si="13"/>
        <v>36.629999999999995</v>
      </c>
      <c r="J79" s="26">
        <f t="shared" ca="1" si="14"/>
        <v>0.9465987243111289</v>
      </c>
      <c r="K79" s="27">
        <f ca="1">cubProducts[[#This Row],[Средняя цена]]*cubProducts[[#This Row],[Продано]]*(100% - cubProducts[[#This Row],[Червивость]])</f>
        <v>383.39339078273622</v>
      </c>
      <c r="L79" s="21" t="s">
        <v>233</v>
      </c>
    </row>
    <row r="80" spans="1:12" x14ac:dyDescent="0.25">
      <c r="A80" s="32">
        <f xml:space="preserve"> _xlfn.XLOOKUP(cubProducts[[#This Row],[Month]], tblCalendar[[#Data],[Month]], tblCalendar[[#Data],[Year]])</f>
        <v>2026</v>
      </c>
      <c r="B80" s="32" t="str">
        <f xml:space="preserve"> _xlfn.XLOOKUP(cubProducts[[#This Row],[Month]], tblCalendar[[#Data],[Month]], tblCalendar[[#Data],[Half Year]])</f>
        <v>2026 H2</v>
      </c>
      <c r="C80" s="32" t="str">
        <f xml:space="preserve"> _xlfn.XLOOKUP(cubProducts[[#This Row],[Month]], tblCalendar[[#Data],[Month]], tblCalendar[[#Data],[Quarter]])</f>
        <v>2026 Q4</v>
      </c>
      <c r="D80" s="22">
        <v>46357</v>
      </c>
      <c r="F80" s="21" t="s">
        <v>137</v>
      </c>
      <c r="G80" s="21" t="s">
        <v>160</v>
      </c>
      <c r="H80" s="23">
        <f t="shared" ca="1" si="8"/>
        <v>191</v>
      </c>
      <c r="I80" s="27">
        <f t="shared" ca="1" si="13"/>
        <v>161.16999999999999</v>
      </c>
      <c r="J80" s="26">
        <f t="shared" ca="1" si="14"/>
        <v>0.16840428273424368</v>
      </c>
      <c r="K80" s="27">
        <f ca="1">cubProducts[[#This Row],[Средняя цена]]*cubProducts[[#This Row],[Продано]]*(100% - cubProducts[[#This Row],[Червивость]])</f>
        <v>25599.40181457889</v>
      </c>
      <c r="L80" s="21" t="s">
        <v>233</v>
      </c>
    </row>
    <row r="81" spans="1:12" x14ac:dyDescent="0.25">
      <c r="A81" s="32">
        <f xml:space="preserve"> _xlfn.XLOOKUP(cubProducts[[#This Row],[Month]], tblCalendar[[#Data],[Month]], tblCalendar[[#Data],[Year]])</f>
        <v>2026</v>
      </c>
      <c r="B81" s="32" t="str">
        <f xml:space="preserve"> _xlfn.XLOOKUP(cubProducts[[#This Row],[Month]], tblCalendar[[#Data],[Month]], tblCalendar[[#Data],[Half Year]])</f>
        <v>2026 H2</v>
      </c>
      <c r="C81" s="32" t="str">
        <f xml:space="preserve"> _xlfn.XLOOKUP(cubProducts[[#This Row],[Month]], tblCalendar[[#Data],[Month]], tblCalendar[[#Data],[Quarter]])</f>
        <v>2026 Q4</v>
      </c>
      <c r="D81" s="22">
        <v>46357</v>
      </c>
      <c r="F81" s="21" t="s">
        <v>137</v>
      </c>
      <c r="G81" s="21" t="s">
        <v>161</v>
      </c>
      <c r="H81" s="23">
        <f t="shared" ca="1" si="8"/>
        <v>60</v>
      </c>
      <c r="I81" s="27">
        <f t="shared" ca="1" si="13"/>
        <v>232.35</v>
      </c>
      <c r="J81" s="26">
        <f t="shared" ca="1" si="14"/>
        <v>1.0858289428480661E-2</v>
      </c>
      <c r="K81" s="27">
        <f ca="1">cubProducts[[#This Row],[Средняя цена]]*cubProducts[[#This Row],[Продано]]*(100% - cubProducts[[#This Row],[Червивость]])</f>
        <v>13789.624587077551</v>
      </c>
      <c r="L81" s="21" t="s">
        <v>233</v>
      </c>
    </row>
    <row r="82" spans="1:12" x14ac:dyDescent="0.25">
      <c r="A82" s="32" t="str">
        <f xml:space="preserve"> _xlfn.XLOOKUP(cubProducts[[#This Row],[Month]], tblCalendar[[#Data],[Month]], tblCalendar[[#Data],[Year]])</f>
        <v>2027</v>
      </c>
      <c r="B82" s="32" t="str">
        <f xml:space="preserve"> _xlfn.XLOOKUP(cubProducts[[#This Row],[Month]], tblCalendar[[#Data],[Month]], tblCalendar[[#Data],[Half Year]])</f>
        <v>2027 H1</v>
      </c>
      <c r="C82" s="32" t="str">
        <f xml:space="preserve"> _xlfn.XLOOKUP(cubProducts[[#This Row],[Month]], tblCalendar[[#Data],[Month]], tblCalendar[[#Data],[Quarter]])</f>
        <v>2027 Q1</v>
      </c>
      <c r="D82" s="22">
        <v>46388</v>
      </c>
      <c r="F82" s="21" t="s">
        <v>136</v>
      </c>
      <c r="G82" s="21" t="s">
        <v>157</v>
      </c>
      <c r="H82" s="23">
        <f t="shared" ca="1" si="8"/>
        <v>80</v>
      </c>
      <c r="I82" s="27">
        <f t="shared" ref="I82:I113" ca="1" si="15" xml:space="preserve"> ROUNDUP(10 + RAND() * 500, 2)</f>
        <v>313.36</v>
      </c>
      <c r="J82" s="26">
        <f t="shared" ref="J82:J113" ca="1" si="16" xml:space="preserve"> RAND() * 100%</f>
        <v>0.88215676803640908</v>
      </c>
      <c r="K82" s="27">
        <f ca="1">cubProducts[[#This Row],[Средняя цена]]*cubProducts[[#This Row],[Продано]]*(100% - cubProducts[[#This Row],[Червивость]])</f>
        <v>2954.1884134488682</v>
      </c>
      <c r="L82" s="21" t="s">
        <v>233</v>
      </c>
    </row>
    <row r="83" spans="1:12" x14ac:dyDescent="0.25">
      <c r="A83" s="32" t="str">
        <f xml:space="preserve"> _xlfn.XLOOKUP(cubProducts[[#This Row],[Month]], tblCalendar[[#Data],[Month]], tblCalendar[[#Data],[Year]])</f>
        <v>2027</v>
      </c>
      <c r="B83" s="32" t="str">
        <f xml:space="preserve"> _xlfn.XLOOKUP(cubProducts[[#This Row],[Month]], tblCalendar[[#Data],[Month]], tblCalendar[[#Data],[Half Year]])</f>
        <v>2027 H1</v>
      </c>
      <c r="C83" s="32" t="str">
        <f xml:space="preserve"> _xlfn.XLOOKUP(cubProducts[[#This Row],[Month]], tblCalendar[[#Data],[Month]], tblCalendar[[#Data],[Quarter]])</f>
        <v>2027 Q1</v>
      </c>
      <c r="D83" s="22">
        <v>46388</v>
      </c>
      <c r="F83" s="21" t="s">
        <v>136</v>
      </c>
      <c r="G83" s="21" t="s">
        <v>158</v>
      </c>
      <c r="H83" s="23">
        <f t="shared" ca="1" si="8"/>
        <v>1</v>
      </c>
      <c r="I83" s="27">
        <f t="shared" ca="1" si="15"/>
        <v>392.02</v>
      </c>
      <c r="J83" s="26">
        <f t="shared" ca="1" si="16"/>
        <v>0.30008698460295957</v>
      </c>
      <c r="K83" s="27">
        <f ca="1">cubProducts[[#This Row],[Средняя цена]]*cubProducts[[#This Row],[Продано]]*(100% - cubProducts[[#This Row],[Червивость]])</f>
        <v>274.37990029594778</v>
      </c>
      <c r="L83" s="21" t="s">
        <v>233</v>
      </c>
    </row>
    <row r="84" spans="1:12" x14ac:dyDescent="0.25">
      <c r="A84" s="32" t="str">
        <f xml:space="preserve"> _xlfn.XLOOKUP(cubProducts[[#This Row],[Month]], tblCalendar[[#Data],[Month]], tblCalendar[[#Data],[Year]])</f>
        <v>2027</v>
      </c>
      <c r="B84" s="32" t="str">
        <f xml:space="preserve"> _xlfn.XLOOKUP(cubProducts[[#This Row],[Month]], tblCalendar[[#Data],[Month]], tblCalendar[[#Data],[Half Year]])</f>
        <v>2027 H1</v>
      </c>
      <c r="C84" s="32" t="str">
        <f xml:space="preserve"> _xlfn.XLOOKUP(cubProducts[[#This Row],[Month]], tblCalendar[[#Data],[Month]], tblCalendar[[#Data],[Quarter]])</f>
        <v>2027 Q1</v>
      </c>
      <c r="D84" s="22">
        <v>46388</v>
      </c>
      <c r="F84" s="21" t="s">
        <v>136</v>
      </c>
      <c r="G84" s="21" t="s">
        <v>159</v>
      </c>
      <c r="H84" s="23">
        <f t="shared" ca="1" si="8"/>
        <v>154</v>
      </c>
      <c r="I84" s="27">
        <f t="shared" ca="1" si="15"/>
        <v>345.43</v>
      </c>
      <c r="J84" s="26">
        <f t="shared" ca="1" si="16"/>
        <v>6.6197879910039781E-2</v>
      </c>
      <c r="K84" s="27">
        <f ca="1">cubProducts[[#This Row],[Средняя цена]]*cubProducts[[#This Row],[Продано]]*(100% - cubProducts[[#This Row],[Червивость]])</f>
        <v>49674.743016771943</v>
      </c>
      <c r="L84" s="21" t="s">
        <v>233</v>
      </c>
    </row>
    <row r="85" spans="1:12" x14ac:dyDescent="0.25">
      <c r="A85" s="32" t="str">
        <f xml:space="preserve"> _xlfn.XLOOKUP(cubProducts[[#This Row],[Month]], tblCalendar[[#Data],[Month]], tblCalendar[[#Data],[Year]])</f>
        <v>2027</v>
      </c>
      <c r="B85" s="32" t="str">
        <f xml:space="preserve"> _xlfn.XLOOKUP(cubProducts[[#This Row],[Month]], tblCalendar[[#Data],[Month]], tblCalendar[[#Data],[Half Year]])</f>
        <v>2027 H1</v>
      </c>
      <c r="C85" s="32" t="str">
        <f xml:space="preserve"> _xlfn.XLOOKUP(cubProducts[[#This Row],[Month]], tblCalendar[[#Data],[Month]], tblCalendar[[#Data],[Quarter]])</f>
        <v>2027 Q1</v>
      </c>
      <c r="D85" s="22">
        <v>46388</v>
      </c>
      <c r="F85" s="21" t="s">
        <v>137</v>
      </c>
      <c r="G85" s="21" t="s">
        <v>160</v>
      </c>
      <c r="H85" s="23">
        <f t="shared" ca="1" si="8"/>
        <v>187</v>
      </c>
      <c r="I85" s="27">
        <f t="shared" ca="1" si="15"/>
        <v>191.19</v>
      </c>
      <c r="J85" s="26">
        <f t="shared" ca="1" si="16"/>
        <v>0.74022682665710327</v>
      </c>
      <c r="K85" s="27">
        <f ca="1">cubProducts[[#This Row],[Средняя цена]]*cubProducts[[#This Row],[Продано]]*(100% - cubProducts[[#This Row],[Червивость]])</f>
        <v>9287.5481731371146</v>
      </c>
      <c r="L85" s="21" t="s">
        <v>233</v>
      </c>
    </row>
    <row r="86" spans="1:12" x14ac:dyDescent="0.25">
      <c r="A86" s="32" t="str">
        <f xml:space="preserve"> _xlfn.XLOOKUP(cubProducts[[#This Row],[Month]], tblCalendar[[#Data],[Month]], tblCalendar[[#Data],[Year]])</f>
        <v>2027</v>
      </c>
      <c r="B86" s="32" t="str">
        <f xml:space="preserve"> _xlfn.XLOOKUP(cubProducts[[#This Row],[Month]], tblCalendar[[#Data],[Month]], tblCalendar[[#Data],[Half Year]])</f>
        <v>2027 H1</v>
      </c>
      <c r="C86" s="32" t="str">
        <f xml:space="preserve"> _xlfn.XLOOKUP(cubProducts[[#This Row],[Month]], tblCalendar[[#Data],[Month]], tblCalendar[[#Data],[Quarter]])</f>
        <v>2027 Q1</v>
      </c>
      <c r="D86" s="22">
        <v>46388</v>
      </c>
      <c r="F86" s="21" t="s">
        <v>137</v>
      </c>
      <c r="G86" s="21" t="s">
        <v>161</v>
      </c>
      <c r="H86" s="23">
        <f t="shared" ca="1" si="8"/>
        <v>151</v>
      </c>
      <c r="I86" s="27">
        <f t="shared" ca="1" si="15"/>
        <v>19.3</v>
      </c>
      <c r="J86" s="26">
        <f t="shared" ca="1" si="16"/>
        <v>8.8493145737008949E-2</v>
      </c>
      <c r="K86" s="27">
        <f ca="1">cubProducts[[#This Row],[Средняя цена]]*cubProducts[[#This Row],[Продано]]*(100% - cubProducts[[#This Row],[Червивость]])</f>
        <v>2656.4044253786351</v>
      </c>
      <c r="L86" s="21" t="s">
        <v>233</v>
      </c>
    </row>
    <row r="87" spans="1:12" x14ac:dyDescent="0.25">
      <c r="A87" s="32" t="str">
        <f xml:space="preserve"> _xlfn.XLOOKUP(cubProducts[[#This Row],[Month]], tblCalendar[[#Data],[Month]], tblCalendar[[#Data],[Year]])</f>
        <v>2027</v>
      </c>
      <c r="B87" s="32" t="str">
        <f xml:space="preserve"> _xlfn.XLOOKUP(cubProducts[[#This Row],[Month]], tblCalendar[[#Data],[Month]], tblCalendar[[#Data],[Half Year]])</f>
        <v>2027 H1</v>
      </c>
      <c r="C87" s="32" t="str">
        <f xml:space="preserve"> _xlfn.XLOOKUP(cubProducts[[#This Row],[Month]], tblCalendar[[#Data],[Month]], tblCalendar[[#Data],[Quarter]])</f>
        <v>2027 Q1</v>
      </c>
      <c r="D87" s="22">
        <v>46419</v>
      </c>
      <c r="F87" s="21" t="s">
        <v>136</v>
      </c>
      <c r="G87" s="21" t="s">
        <v>157</v>
      </c>
      <c r="H87" s="23">
        <f t="shared" ca="1" si="8"/>
        <v>137</v>
      </c>
      <c r="I87" s="27">
        <f t="shared" ca="1" si="15"/>
        <v>277.45</v>
      </c>
      <c r="J87" s="26">
        <f t="shared" ca="1" si="16"/>
        <v>2.8017106131740688E-2</v>
      </c>
      <c r="K87" s="27">
        <f ca="1">cubProducts[[#This Row],[Средняя цена]]*cubProducts[[#This Row],[Продано]]*(100% - cubProducts[[#This Row],[Червивость]])</f>
        <v>36945.701584813549</v>
      </c>
      <c r="L87" s="21" t="s">
        <v>233</v>
      </c>
    </row>
    <row r="88" spans="1:12" x14ac:dyDescent="0.25">
      <c r="A88" s="32" t="str">
        <f xml:space="preserve"> _xlfn.XLOOKUP(cubProducts[[#This Row],[Month]], tblCalendar[[#Data],[Month]], tblCalendar[[#Data],[Year]])</f>
        <v>2027</v>
      </c>
      <c r="B88" s="32" t="str">
        <f xml:space="preserve"> _xlfn.XLOOKUP(cubProducts[[#This Row],[Month]], tblCalendar[[#Data],[Month]], tblCalendar[[#Data],[Half Year]])</f>
        <v>2027 H1</v>
      </c>
      <c r="C88" s="32" t="str">
        <f xml:space="preserve"> _xlfn.XLOOKUP(cubProducts[[#This Row],[Month]], tblCalendar[[#Data],[Month]], tblCalendar[[#Data],[Quarter]])</f>
        <v>2027 Q1</v>
      </c>
      <c r="D88" s="22">
        <v>46419</v>
      </c>
      <c r="F88" s="21" t="s">
        <v>136</v>
      </c>
      <c r="G88" s="21" t="s">
        <v>158</v>
      </c>
      <c r="H88" s="23">
        <f t="shared" ca="1" si="8"/>
        <v>200</v>
      </c>
      <c r="I88" s="27">
        <f t="shared" ca="1" si="15"/>
        <v>363.25</v>
      </c>
      <c r="J88" s="26">
        <f t="shared" ca="1" si="16"/>
        <v>0.80523806854336821</v>
      </c>
      <c r="K88" s="27">
        <f ca="1">cubProducts[[#This Row],[Средняя цена]]*cubProducts[[#This Row],[Продано]]*(100% - cubProducts[[#This Row],[Червивость]])</f>
        <v>14149.454320324299</v>
      </c>
      <c r="L88" s="21" t="s">
        <v>233</v>
      </c>
    </row>
    <row r="89" spans="1:12" x14ac:dyDescent="0.25">
      <c r="A89" s="32" t="str">
        <f xml:space="preserve"> _xlfn.XLOOKUP(cubProducts[[#This Row],[Month]], tblCalendar[[#Data],[Month]], tblCalendar[[#Data],[Year]])</f>
        <v>2027</v>
      </c>
      <c r="B89" s="32" t="str">
        <f xml:space="preserve"> _xlfn.XLOOKUP(cubProducts[[#This Row],[Month]], tblCalendar[[#Data],[Month]], tblCalendar[[#Data],[Half Year]])</f>
        <v>2027 H1</v>
      </c>
      <c r="C89" s="32" t="str">
        <f xml:space="preserve"> _xlfn.XLOOKUP(cubProducts[[#This Row],[Month]], tblCalendar[[#Data],[Month]], tblCalendar[[#Data],[Quarter]])</f>
        <v>2027 Q1</v>
      </c>
      <c r="D89" s="22">
        <v>46419</v>
      </c>
      <c r="F89" s="21" t="s">
        <v>136</v>
      </c>
      <c r="G89" s="21" t="s">
        <v>159</v>
      </c>
      <c r="H89" s="23">
        <f t="shared" ca="1" si="8"/>
        <v>66</v>
      </c>
      <c r="I89" s="27">
        <f t="shared" ca="1" si="15"/>
        <v>487.32</v>
      </c>
      <c r="J89" s="26">
        <f t="shared" ca="1" si="16"/>
        <v>0.66001109251229173</v>
      </c>
      <c r="K89" s="27">
        <f ca="1">cubProducts[[#This Row],[Средняя цена]]*cubProducts[[#This Row],[Продано]]*(100% - cubProducts[[#This Row],[Червивость]])</f>
        <v>10935.104030196058</v>
      </c>
      <c r="L89" s="21" t="s">
        <v>233</v>
      </c>
    </row>
    <row r="90" spans="1:12" x14ac:dyDescent="0.25">
      <c r="A90" s="32" t="str">
        <f xml:space="preserve"> _xlfn.XLOOKUP(cubProducts[[#This Row],[Month]], tblCalendar[[#Data],[Month]], tblCalendar[[#Data],[Year]])</f>
        <v>2027</v>
      </c>
      <c r="B90" s="32" t="str">
        <f xml:space="preserve"> _xlfn.XLOOKUP(cubProducts[[#This Row],[Month]], tblCalendar[[#Data],[Month]], tblCalendar[[#Data],[Half Year]])</f>
        <v>2027 H1</v>
      </c>
      <c r="C90" s="32" t="str">
        <f xml:space="preserve"> _xlfn.XLOOKUP(cubProducts[[#This Row],[Month]], tblCalendar[[#Data],[Month]], tblCalendar[[#Data],[Quarter]])</f>
        <v>2027 Q1</v>
      </c>
      <c r="D90" s="22">
        <v>46419</v>
      </c>
      <c r="F90" s="21" t="s">
        <v>137</v>
      </c>
      <c r="G90" s="21" t="s">
        <v>160</v>
      </c>
      <c r="H90" s="23">
        <f t="shared" ca="1" si="8"/>
        <v>84</v>
      </c>
      <c r="I90" s="27">
        <f t="shared" ca="1" si="15"/>
        <v>304.05</v>
      </c>
      <c r="J90" s="26">
        <f t="shared" ca="1" si="16"/>
        <v>0.7085596867590227</v>
      </c>
      <c r="K90" s="27">
        <f ca="1">cubProducts[[#This Row],[Средняя цена]]*cubProducts[[#This Row],[Продано]]*(100% - cubProducts[[#This Row],[Червивость]])</f>
        <v>7443.4438882372087</v>
      </c>
      <c r="L90" s="21" t="s">
        <v>233</v>
      </c>
    </row>
    <row r="91" spans="1:12" x14ac:dyDescent="0.25">
      <c r="A91" s="32" t="str">
        <f xml:space="preserve"> _xlfn.XLOOKUP(cubProducts[[#This Row],[Month]], tblCalendar[[#Data],[Month]], tblCalendar[[#Data],[Year]])</f>
        <v>2027</v>
      </c>
      <c r="B91" s="32" t="str">
        <f xml:space="preserve"> _xlfn.XLOOKUP(cubProducts[[#This Row],[Month]], tblCalendar[[#Data],[Month]], tblCalendar[[#Data],[Half Year]])</f>
        <v>2027 H1</v>
      </c>
      <c r="C91" s="32" t="str">
        <f xml:space="preserve"> _xlfn.XLOOKUP(cubProducts[[#This Row],[Month]], tblCalendar[[#Data],[Month]], tblCalendar[[#Data],[Quarter]])</f>
        <v>2027 Q1</v>
      </c>
      <c r="D91" s="22">
        <v>46419</v>
      </c>
      <c r="F91" s="21" t="s">
        <v>137</v>
      </c>
      <c r="G91" s="21" t="s">
        <v>161</v>
      </c>
      <c r="H91" s="23">
        <f t="shared" ca="1" si="8"/>
        <v>37</v>
      </c>
      <c r="I91" s="27">
        <f t="shared" ca="1" si="15"/>
        <v>233.29</v>
      </c>
      <c r="J91" s="26">
        <f t="shared" ca="1" si="16"/>
        <v>0.11658053229619092</v>
      </c>
      <c r="K91" s="27">
        <f ca="1">cubProducts[[#This Row],[Средняя цена]]*cubProducts[[#This Row],[Продано]]*(100% - cubProducts[[#This Row],[Червивость]])</f>
        <v>7625.4383219629999</v>
      </c>
      <c r="L91" s="21" t="s">
        <v>233</v>
      </c>
    </row>
    <row r="92" spans="1:12" x14ac:dyDescent="0.25">
      <c r="A92" s="32" t="str">
        <f xml:space="preserve"> _xlfn.XLOOKUP(cubProducts[[#This Row],[Month]], tblCalendar[[#Data],[Month]], tblCalendar[[#Data],[Year]])</f>
        <v>2027</v>
      </c>
      <c r="B92" s="32" t="str">
        <f xml:space="preserve"> _xlfn.XLOOKUP(cubProducts[[#This Row],[Month]], tblCalendar[[#Data],[Month]], tblCalendar[[#Data],[Half Year]])</f>
        <v>2027 H1</v>
      </c>
      <c r="C92" s="32" t="str">
        <f xml:space="preserve"> _xlfn.XLOOKUP(cubProducts[[#This Row],[Month]], tblCalendar[[#Data],[Month]], tblCalendar[[#Data],[Quarter]])</f>
        <v>2027 Q1</v>
      </c>
      <c r="D92" s="22">
        <v>46447</v>
      </c>
      <c r="F92" s="21" t="s">
        <v>136</v>
      </c>
      <c r="G92" s="21" t="s">
        <v>157</v>
      </c>
      <c r="H92" s="23">
        <f t="shared" ca="1" si="8"/>
        <v>150</v>
      </c>
      <c r="I92" s="27">
        <f t="shared" ca="1" si="15"/>
        <v>230.42999999999998</v>
      </c>
      <c r="J92" s="26">
        <f t="shared" ca="1" si="16"/>
        <v>0.24646109161294849</v>
      </c>
      <c r="K92" s="27">
        <f ca="1">cubProducts[[#This Row],[Средняя цена]]*cubProducts[[#This Row],[Продано]]*(100% - cubProducts[[#This Row],[Червивость]])</f>
        <v>26045.695598944243</v>
      </c>
      <c r="L92" s="21" t="s">
        <v>233</v>
      </c>
    </row>
    <row r="93" spans="1:12" x14ac:dyDescent="0.25">
      <c r="A93" s="32" t="str">
        <f xml:space="preserve"> _xlfn.XLOOKUP(cubProducts[[#This Row],[Month]], tblCalendar[[#Data],[Month]], tblCalendar[[#Data],[Year]])</f>
        <v>2027</v>
      </c>
      <c r="B93" s="32" t="str">
        <f xml:space="preserve"> _xlfn.XLOOKUP(cubProducts[[#This Row],[Month]], tblCalendar[[#Data],[Month]], tblCalendar[[#Data],[Half Year]])</f>
        <v>2027 H1</v>
      </c>
      <c r="C93" s="32" t="str">
        <f xml:space="preserve"> _xlfn.XLOOKUP(cubProducts[[#This Row],[Month]], tblCalendar[[#Data],[Month]], tblCalendar[[#Data],[Quarter]])</f>
        <v>2027 Q1</v>
      </c>
      <c r="D93" s="22">
        <v>46447</v>
      </c>
      <c r="F93" s="21" t="s">
        <v>136</v>
      </c>
      <c r="G93" s="21" t="s">
        <v>158</v>
      </c>
      <c r="H93" s="23">
        <f t="shared" ca="1" si="8"/>
        <v>189</v>
      </c>
      <c r="I93" s="27">
        <f t="shared" ca="1" si="15"/>
        <v>64.930000000000007</v>
      </c>
      <c r="J93" s="26">
        <f t="shared" ca="1" si="16"/>
        <v>0.98018580258318</v>
      </c>
      <c r="K93" s="27">
        <f ca="1">cubProducts[[#This Row],[Средняя цена]]*cubProducts[[#This Row],[Продано]]*(100% - cubProducts[[#This Row],[Червивость]])</f>
        <v>243.15527343380919</v>
      </c>
      <c r="L93" s="21" t="s">
        <v>233</v>
      </c>
    </row>
    <row r="94" spans="1:12" x14ac:dyDescent="0.25">
      <c r="A94" s="32" t="str">
        <f xml:space="preserve"> _xlfn.XLOOKUP(cubProducts[[#This Row],[Month]], tblCalendar[[#Data],[Month]], tblCalendar[[#Data],[Year]])</f>
        <v>2027</v>
      </c>
      <c r="B94" s="32" t="str">
        <f xml:space="preserve"> _xlfn.XLOOKUP(cubProducts[[#This Row],[Month]], tblCalendar[[#Data],[Month]], tblCalendar[[#Data],[Half Year]])</f>
        <v>2027 H1</v>
      </c>
      <c r="C94" s="32" t="str">
        <f xml:space="preserve"> _xlfn.XLOOKUP(cubProducts[[#This Row],[Month]], tblCalendar[[#Data],[Month]], tblCalendar[[#Data],[Quarter]])</f>
        <v>2027 Q1</v>
      </c>
      <c r="D94" s="22">
        <v>46447</v>
      </c>
      <c r="F94" s="21" t="s">
        <v>136</v>
      </c>
      <c r="G94" s="21" t="s">
        <v>159</v>
      </c>
      <c r="H94" s="23">
        <f t="shared" ca="1" si="8"/>
        <v>119</v>
      </c>
      <c r="I94" s="27">
        <f t="shared" ca="1" si="15"/>
        <v>37.47</v>
      </c>
      <c r="J94" s="26">
        <f t="shared" ca="1" si="16"/>
        <v>0.62463601260694779</v>
      </c>
      <c r="K94" s="27">
        <f ca="1">cubProducts[[#This Row],[Средняя цена]]*cubProducts[[#This Row],[Продано]]*(100% - cubProducts[[#This Row],[Червивость]])</f>
        <v>1673.7217443065024</v>
      </c>
      <c r="L94" s="21" t="s">
        <v>233</v>
      </c>
    </row>
    <row r="95" spans="1:12" x14ac:dyDescent="0.25">
      <c r="A95" s="32" t="str">
        <f xml:space="preserve"> _xlfn.XLOOKUP(cubProducts[[#This Row],[Month]], tblCalendar[[#Data],[Month]], tblCalendar[[#Data],[Year]])</f>
        <v>2027</v>
      </c>
      <c r="B95" s="32" t="str">
        <f xml:space="preserve"> _xlfn.XLOOKUP(cubProducts[[#This Row],[Month]], tblCalendar[[#Data],[Month]], tblCalendar[[#Data],[Half Year]])</f>
        <v>2027 H1</v>
      </c>
      <c r="C95" s="32" t="str">
        <f xml:space="preserve"> _xlfn.XLOOKUP(cubProducts[[#This Row],[Month]], tblCalendar[[#Data],[Month]], tblCalendar[[#Data],[Quarter]])</f>
        <v>2027 Q1</v>
      </c>
      <c r="D95" s="22">
        <v>46447</v>
      </c>
      <c r="F95" s="21" t="s">
        <v>137</v>
      </c>
      <c r="G95" s="21" t="s">
        <v>160</v>
      </c>
      <c r="H95" s="23">
        <f t="shared" ca="1" si="8"/>
        <v>1</v>
      </c>
      <c r="I95" s="27">
        <f t="shared" ca="1" si="15"/>
        <v>177.29999999999998</v>
      </c>
      <c r="J95" s="26">
        <f t="shared" ca="1" si="16"/>
        <v>0.70907186085704077</v>
      </c>
      <c r="K95" s="27">
        <f ca="1">cubProducts[[#This Row],[Средняя цена]]*cubProducts[[#This Row],[Продано]]*(100% - cubProducts[[#This Row],[Червивость]])</f>
        <v>51.581559070046666</v>
      </c>
      <c r="L95" s="21" t="s">
        <v>233</v>
      </c>
    </row>
    <row r="96" spans="1:12" x14ac:dyDescent="0.25">
      <c r="A96" s="32" t="str">
        <f xml:space="preserve"> _xlfn.XLOOKUP(cubProducts[[#This Row],[Month]], tblCalendar[[#Data],[Month]], tblCalendar[[#Data],[Year]])</f>
        <v>2027</v>
      </c>
      <c r="B96" s="32" t="str">
        <f xml:space="preserve"> _xlfn.XLOOKUP(cubProducts[[#This Row],[Month]], tblCalendar[[#Data],[Month]], tblCalendar[[#Data],[Half Year]])</f>
        <v>2027 H1</v>
      </c>
      <c r="C96" s="32" t="str">
        <f xml:space="preserve"> _xlfn.XLOOKUP(cubProducts[[#This Row],[Month]], tblCalendar[[#Data],[Month]], tblCalendar[[#Data],[Quarter]])</f>
        <v>2027 Q1</v>
      </c>
      <c r="D96" s="22">
        <v>46447</v>
      </c>
      <c r="F96" s="21" t="s">
        <v>137</v>
      </c>
      <c r="G96" s="21" t="s">
        <v>161</v>
      </c>
      <c r="H96" s="23">
        <f t="shared" ca="1" si="8"/>
        <v>64</v>
      </c>
      <c r="I96" s="27">
        <f t="shared" ca="1" si="15"/>
        <v>81.180000000000007</v>
      </c>
      <c r="J96" s="26">
        <f t="shared" ca="1" si="16"/>
        <v>0.65513205994015011</v>
      </c>
      <c r="K96" s="27">
        <f ca="1">cubProducts[[#This Row],[Средняя цена]]*cubProducts[[#This Row],[Продано]]*(100% - cubProducts[[#This Row],[Червивость]])</f>
        <v>1791.7682799397514</v>
      </c>
      <c r="L96" s="21" t="s">
        <v>233</v>
      </c>
    </row>
    <row r="97" spans="1:12" x14ac:dyDescent="0.25">
      <c r="A97" s="32" t="str">
        <f xml:space="preserve"> _xlfn.XLOOKUP(cubProducts[[#This Row],[Month]], tblCalendar[[#Data],[Month]], tblCalendar[[#Data],[Year]])</f>
        <v>2027</v>
      </c>
      <c r="B97" s="32" t="str">
        <f xml:space="preserve"> _xlfn.XLOOKUP(cubProducts[[#This Row],[Month]], tblCalendar[[#Data],[Month]], tblCalendar[[#Data],[Half Year]])</f>
        <v>2027 H1</v>
      </c>
      <c r="C97" s="32" t="str">
        <f xml:space="preserve"> _xlfn.XLOOKUP(cubProducts[[#This Row],[Month]], tblCalendar[[#Data],[Month]], tblCalendar[[#Data],[Quarter]])</f>
        <v>2027 Q2</v>
      </c>
      <c r="D97" s="22">
        <v>46478</v>
      </c>
      <c r="F97" s="21" t="s">
        <v>136</v>
      </c>
      <c r="G97" s="21" t="s">
        <v>157</v>
      </c>
      <c r="H97" s="23">
        <f t="shared" ca="1" si="8"/>
        <v>196</v>
      </c>
      <c r="I97" s="27">
        <f t="shared" ca="1" si="15"/>
        <v>243.84</v>
      </c>
      <c r="J97" s="26">
        <f t="shared" ca="1" si="16"/>
        <v>0.36636834778950333</v>
      </c>
      <c r="K97" s="27">
        <f ca="1">cubProducts[[#This Row],[Средняя цена]]*cubProducts[[#This Row],[Продано]]*(100% - cubProducts[[#This Row],[Червивость]])</f>
        <v>30282.92944670147</v>
      </c>
      <c r="L97" s="21" t="s">
        <v>233</v>
      </c>
    </row>
    <row r="98" spans="1:12" x14ac:dyDescent="0.25">
      <c r="A98" s="32" t="str">
        <f xml:space="preserve"> _xlfn.XLOOKUP(cubProducts[[#This Row],[Month]], tblCalendar[[#Data],[Month]], tblCalendar[[#Data],[Year]])</f>
        <v>2027</v>
      </c>
      <c r="B98" s="32" t="str">
        <f xml:space="preserve"> _xlfn.XLOOKUP(cubProducts[[#This Row],[Month]], tblCalendar[[#Data],[Month]], tblCalendar[[#Data],[Half Year]])</f>
        <v>2027 H1</v>
      </c>
      <c r="C98" s="32" t="str">
        <f xml:space="preserve"> _xlfn.XLOOKUP(cubProducts[[#This Row],[Month]], tblCalendar[[#Data],[Month]], tblCalendar[[#Data],[Quarter]])</f>
        <v>2027 Q2</v>
      </c>
      <c r="D98" s="22">
        <v>46478</v>
      </c>
      <c r="F98" s="21" t="s">
        <v>136</v>
      </c>
      <c r="G98" s="21" t="s">
        <v>158</v>
      </c>
      <c r="H98" s="23">
        <f t="shared" ref="H98:H129" ca="1" si="17" xml:space="preserve"> RANDBETWEEN(0,200)</f>
        <v>35</v>
      </c>
      <c r="I98" s="27">
        <f t="shared" ca="1" si="15"/>
        <v>41.489999999999995</v>
      </c>
      <c r="J98" s="26">
        <f t="shared" ca="1" si="16"/>
        <v>0.52665427142425447</v>
      </c>
      <c r="K98" s="27">
        <f ca="1">cubProducts[[#This Row],[Средняя цена]]*cubProducts[[#This Row],[Продано]]*(100% - cubProducts[[#This Row],[Червивость]])</f>
        <v>687.3689997512688</v>
      </c>
      <c r="L98" s="21" t="s">
        <v>233</v>
      </c>
    </row>
    <row r="99" spans="1:12" x14ac:dyDescent="0.25">
      <c r="A99" s="32" t="str">
        <f xml:space="preserve"> _xlfn.XLOOKUP(cubProducts[[#This Row],[Month]], tblCalendar[[#Data],[Month]], tblCalendar[[#Data],[Year]])</f>
        <v>2027</v>
      </c>
      <c r="B99" s="32" t="str">
        <f xml:space="preserve"> _xlfn.XLOOKUP(cubProducts[[#This Row],[Month]], tblCalendar[[#Data],[Month]], tblCalendar[[#Data],[Half Year]])</f>
        <v>2027 H1</v>
      </c>
      <c r="C99" s="32" t="str">
        <f xml:space="preserve"> _xlfn.XLOOKUP(cubProducts[[#This Row],[Month]], tblCalendar[[#Data],[Month]], tblCalendar[[#Data],[Quarter]])</f>
        <v>2027 Q2</v>
      </c>
      <c r="D99" s="22">
        <v>46478</v>
      </c>
      <c r="F99" s="21" t="s">
        <v>136</v>
      </c>
      <c r="G99" s="21" t="s">
        <v>159</v>
      </c>
      <c r="H99" s="23">
        <f t="shared" ca="1" si="17"/>
        <v>29</v>
      </c>
      <c r="I99" s="27">
        <f t="shared" ca="1" si="15"/>
        <v>257.20999999999998</v>
      </c>
      <c r="J99" s="26">
        <f t="shared" ca="1" si="16"/>
        <v>0.17539047731739432</v>
      </c>
      <c r="K99" s="27">
        <f ca="1">cubProducts[[#This Row],[Средняя цена]]*cubProducts[[#This Row],[Продано]]*(100% - cubProducts[[#This Row],[Червивость]])</f>
        <v>6150.8366445465963</v>
      </c>
      <c r="L99" s="21" t="s">
        <v>233</v>
      </c>
    </row>
    <row r="100" spans="1:12" x14ac:dyDescent="0.25">
      <c r="A100" s="32" t="str">
        <f xml:space="preserve"> _xlfn.XLOOKUP(cubProducts[[#This Row],[Month]], tblCalendar[[#Data],[Month]], tblCalendar[[#Data],[Year]])</f>
        <v>2027</v>
      </c>
      <c r="B100" s="32" t="str">
        <f xml:space="preserve"> _xlfn.XLOOKUP(cubProducts[[#This Row],[Month]], tblCalendar[[#Data],[Month]], tblCalendar[[#Data],[Half Year]])</f>
        <v>2027 H1</v>
      </c>
      <c r="C100" s="32" t="str">
        <f xml:space="preserve"> _xlfn.XLOOKUP(cubProducts[[#This Row],[Month]], tblCalendar[[#Data],[Month]], tblCalendar[[#Data],[Quarter]])</f>
        <v>2027 Q2</v>
      </c>
      <c r="D100" s="22">
        <v>46478</v>
      </c>
      <c r="F100" s="21" t="s">
        <v>137</v>
      </c>
      <c r="G100" s="21" t="s">
        <v>160</v>
      </c>
      <c r="H100" s="23">
        <f t="shared" ca="1" si="17"/>
        <v>38</v>
      </c>
      <c r="I100" s="27">
        <f t="shared" ca="1" si="15"/>
        <v>18.690000000000001</v>
      </c>
      <c r="J100" s="26">
        <f t="shared" ca="1" si="16"/>
        <v>0.10822938362244006</v>
      </c>
      <c r="K100" s="27">
        <f ca="1">cubProducts[[#This Row],[Средняя цена]]*cubProducts[[#This Row],[Продано]]*(100% - cubProducts[[#This Row],[Червивость]])</f>
        <v>633.35332716367066</v>
      </c>
      <c r="L100" s="21" t="s">
        <v>233</v>
      </c>
    </row>
    <row r="101" spans="1:12" x14ac:dyDescent="0.25">
      <c r="A101" s="32" t="str">
        <f xml:space="preserve"> _xlfn.XLOOKUP(cubProducts[[#This Row],[Month]], tblCalendar[[#Data],[Month]], tblCalendar[[#Data],[Year]])</f>
        <v>2027</v>
      </c>
      <c r="B101" s="32" t="str">
        <f xml:space="preserve"> _xlfn.XLOOKUP(cubProducts[[#This Row],[Month]], tblCalendar[[#Data],[Month]], tblCalendar[[#Data],[Half Year]])</f>
        <v>2027 H1</v>
      </c>
      <c r="C101" s="32" t="str">
        <f xml:space="preserve"> _xlfn.XLOOKUP(cubProducts[[#This Row],[Month]], tblCalendar[[#Data],[Month]], tblCalendar[[#Data],[Quarter]])</f>
        <v>2027 Q2</v>
      </c>
      <c r="D101" s="22">
        <v>46478</v>
      </c>
      <c r="F101" s="21" t="s">
        <v>137</v>
      </c>
      <c r="G101" s="21" t="s">
        <v>161</v>
      </c>
      <c r="H101" s="23">
        <f t="shared" ca="1" si="17"/>
        <v>14</v>
      </c>
      <c r="I101" s="27">
        <f t="shared" ca="1" si="15"/>
        <v>94.160000000000011</v>
      </c>
      <c r="J101" s="26">
        <f t="shared" ca="1" si="16"/>
        <v>0.40767475600913317</v>
      </c>
      <c r="K101" s="27">
        <f ca="1">cubProducts[[#This Row],[Средняя цена]]*cubProducts[[#This Row],[Продано]]*(100% - cubProducts[[#This Row],[Червивость]])</f>
        <v>780.82682963852039</v>
      </c>
      <c r="L101" s="21" t="s">
        <v>233</v>
      </c>
    </row>
    <row r="102" spans="1:12" x14ac:dyDescent="0.25">
      <c r="A102" s="32" t="str">
        <f xml:space="preserve"> _xlfn.XLOOKUP(cubProducts[[#This Row],[Month]], tblCalendar[[#Data],[Month]], tblCalendar[[#Data],[Year]])</f>
        <v>2027</v>
      </c>
      <c r="B102" s="32" t="str">
        <f xml:space="preserve"> _xlfn.XLOOKUP(cubProducts[[#This Row],[Month]], tblCalendar[[#Data],[Month]], tblCalendar[[#Data],[Half Year]])</f>
        <v>2027 H1</v>
      </c>
      <c r="C102" s="32" t="str">
        <f xml:space="preserve"> _xlfn.XLOOKUP(cubProducts[[#This Row],[Month]], tblCalendar[[#Data],[Month]], tblCalendar[[#Data],[Quarter]])</f>
        <v>2027 Q2</v>
      </c>
      <c r="D102" s="22">
        <v>46508</v>
      </c>
      <c r="F102" s="21" t="s">
        <v>136</v>
      </c>
      <c r="G102" s="21" t="s">
        <v>157</v>
      </c>
      <c r="H102" s="23">
        <f t="shared" ca="1" si="17"/>
        <v>17</v>
      </c>
      <c r="I102" s="27">
        <f t="shared" ca="1" si="15"/>
        <v>495.83</v>
      </c>
      <c r="J102" s="26">
        <f t="shared" ca="1" si="16"/>
        <v>0.71457645662955827</v>
      </c>
      <c r="K102" s="27">
        <f ca="1">cubProducts[[#This Row],[Средняя цена]]*cubProducts[[#This Row],[Продано]]*(100% - cubProducts[[#This Row],[Червивость]])</f>
        <v>2405.8664436592244</v>
      </c>
      <c r="L102" s="21" t="s">
        <v>233</v>
      </c>
    </row>
    <row r="103" spans="1:12" x14ac:dyDescent="0.25">
      <c r="A103" s="32" t="str">
        <f xml:space="preserve"> _xlfn.XLOOKUP(cubProducts[[#This Row],[Month]], tblCalendar[[#Data],[Month]], tblCalendar[[#Data],[Year]])</f>
        <v>2027</v>
      </c>
      <c r="B103" s="32" t="str">
        <f xml:space="preserve"> _xlfn.XLOOKUP(cubProducts[[#This Row],[Month]], tblCalendar[[#Data],[Month]], tblCalendar[[#Data],[Half Year]])</f>
        <v>2027 H1</v>
      </c>
      <c r="C103" s="32" t="str">
        <f xml:space="preserve"> _xlfn.XLOOKUP(cubProducts[[#This Row],[Month]], tblCalendar[[#Data],[Month]], tblCalendar[[#Data],[Quarter]])</f>
        <v>2027 Q2</v>
      </c>
      <c r="D103" s="22">
        <v>46508</v>
      </c>
      <c r="F103" s="21" t="s">
        <v>136</v>
      </c>
      <c r="G103" s="21" t="s">
        <v>158</v>
      </c>
      <c r="H103" s="23">
        <f t="shared" ca="1" si="17"/>
        <v>16</v>
      </c>
      <c r="I103" s="27">
        <f t="shared" ca="1" si="15"/>
        <v>339.34</v>
      </c>
      <c r="J103" s="26">
        <f t="shared" ca="1" si="16"/>
        <v>0.40206063513892865</v>
      </c>
      <c r="K103" s="27">
        <f ca="1">cubProducts[[#This Row],[Средняя цена]]*cubProducts[[#This Row],[Продано]]*(100% - cubProducts[[#This Row],[Червивость]])</f>
        <v>3246.4759051512951</v>
      </c>
      <c r="L103" s="21" t="s">
        <v>233</v>
      </c>
    </row>
    <row r="104" spans="1:12" x14ac:dyDescent="0.25">
      <c r="A104" s="32" t="str">
        <f xml:space="preserve"> _xlfn.XLOOKUP(cubProducts[[#This Row],[Month]], tblCalendar[[#Data],[Month]], tblCalendar[[#Data],[Year]])</f>
        <v>2027</v>
      </c>
      <c r="B104" s="32" t="str">
        <f xml:space="preserve"> _xlfn.XLOOKUP(cubProducts[[#This Row],[Month]], tblCalendar[[#Data],[Month]], tblCalendar[[#Data],[Half Year]])</f>
        <v>2027 H1</v>
      </c>
      <c r="C104" s="32" t="str">
        <f xml:space="preserve"> _xlfn.XLOOKUP(cubProducts[[#This Row],[Month]], tblCalendar[[#Data],[Month]], tblCalendar[[#Data],[Quarter]])</f>
        <v>2027 Q2</v>
      </c>
      <c r="D104" s="22">
        <v>46508</v>
      </c>
      <c r="F104" s="21" t="s">
        <v>136</v>
      </c>
      <c r="G104" s="21" t="s">
        <v>159</v>
      </c>
      <c r="H104" s="23">
        <f t="shared" ca="1" si="17"/>
        <v>167</v>
      </c>
      <c r="I104" s="27">
        <f t="shared" ca="1" si="15"/>
        <v>54.4</v>
      </c>
      <c r="J104" s="26">
        <f t="shared" ca="1" si="16"/>
        <v>0.8062231434947732</v>
      </c>
      <c r="K104" s="27">
        <f ca="1">cubProducts[[#This Row],[Средняя цена]]*cubProducts[[#This Row],[Продано]]*(100% - cubProducts[[#This Row],[Червивость]])</f>
        <v>1760.4239859786844</v>
      </c>
      <c r="L104" s="21" t="s">
        <v>233</v>
      </c>
    </row>
    <row r="105" spans="1:12" x14ac:dyDescent="0.25">
      <c r="A105" s="32" t="str">
        <f xml:space="preserve"> _xlfn.XLOOKUP(cubProducts[[#This Row],[Month]], tblCalendar[[#Data],[Month]], tblCalendar[[#Data],[Year]])</f>
        <v>2027</v>
      </c>
      <c r="B105" s="32" t="str">
        <f xml:space="preserve"> _xlfn.XLOOKUP(cubProducts[[#This Row],[Month]], tblCalendar[[#Data],[Month]], tblCalendar[[#Data],[Half Year]])</f>
        <v>2027 H1</v>
      </c>
      <c r="C105" s="32" t="str">
        <f xml:space="preserve"> _xlfn.XLOOKUP(cubProducts[[#This Row],[Month]], tblCalendar[[#Data],[Month]], tblCalendar[[#Data],[Quarter]])</f>
        <v>2027 Q2</v>
      </c>
      <c r="D105" s="22">
        <v>46508</v>
      </c>
      <c r="F105" s="21" t="s">
        <v>137</v>
      </c>
      <c r="G105" s="21" t="s">
        <v>160</v>
      </c>
      <c r="H105" s="23">
        <f t="shared" ca="1" si="17"/>
        <v>104</v>
      </c>
      <c r="I105" s="27">
        <f t="shared" ca="1" si="15"/>
        <v>28.970000000000002</v>
      </c>
      <c r="J105" s="26">
        <f t="shared" ca="1" si="16"/>
        <v>0.80246199656783412</v>
      </c>
      <c r="K105" s="27">
        <f ca="1">cubProducts[[#This Row],[Средняя цена]]*cubProducts[[#This Row],[Продано]]*(100% - cubProducts[[#This Row],[Червивость]])</f>
        <v>595.15829978070394</v>
      </c>
      <c r="L105" s="21" t="s">
        <v>233</v>
      </c>
    </row>
    <row r="106" spans="1:12" x14ac:dyDescent="0.25">
      <c r="A106" s="32" t="str">
        <f xml:space="preserve"> _xlfn.XLOOKUP(cubProducts[[#This Row],[Month]], tblCalendar[[#Data],[Month]], tblCalendar[[#Data],[Year]])</f>
        <v>2027</v>
      </c>
      <c r="B106" s="32" t="str">
        <f xml:space="preserve"> _xlfn.XLOOKUP(cubProducts[[#This Row],[Month]], tblCalendar[[#Data],[Month]], tblCalendar[[#Data],[Half Year]])</f>
        <v>2027 H1</v>
      </c>
      <c r="C106" s="32" t="str">
        <f xml:space="preserve"> _xlfn.XLOOKUP(cubProducts[[#This Row],[Month]], tblCalendar[[#Data],[Month]], tblCalendar[[#Data],[Quarter]])</f>
        <v>2027 Q2</v>
      </c>
      <c r="D106" s="22">
        <v>46508</v>
      </c>
      <c r="F106" s="21" t="s">
        <v>137</v>
      </c>
      <c r="G106" s="21" t="s">
        <v>161</v>
      </c>
      <c r="H106" s="23">
        <f t="shared" ca="1" si="17"/>
        <v>107</v>
      </c>
      <c r="I106" s="27">
        <f t="shared" ca="1" si="15"/>
        <v>371.44</v>
      </c>
      <c r="J106" s="26">
        <f t="shared" ca="1" si="16"/>
        <v>0.28479449708588722</v>
      </c>
      <c r="K106" s="27">
        <f ca="1">cubProducts[[#This Row],[Средняя цена]]*cubProducts[[#This Row],[Продано]]*(100% - cubProducts[[#This Row],[Червивость]])</f>
        <v>28425.184724258732</v>
      </c>
      <c r="L106" s="21" t="s">
        <v>233</v>
      </c>
    </row>
    <row r="107" spans="1:12" x14ac:dyDescent="0.25">
      <c r="A107" s="32" t="str">
        <f xml:space="preserve"> _xlfn.XLOOKUP(cubProducts[[#This Row],[Month]], tblCalendar[[#Data],[Month]], tblCalendar[[#Data],[Year]])</f>
        <v>2027</v>
      </c>
      <c r="B107" s="32" t="str">
        <f xml:space="preserve"> _xlfn.XLOOKUP(cubProducts[[#This Row],[Month]], tblCalendar[[#Data],[Month]], tblCalendar[[#Data],[Half Year]])</f>
        <v>2027 H1</v>
      </c>
      <c r="C107" s="32" t="str">
        <f xml:space="preserve"> _xlfn.XLOOKUP(cubProducts[[#This Row],[Month]], tblCalendar[[#Data],[Month]], tblCalendar[[#Data],[Quarter]])</f>
        <v>2027 Q2</v>
      </c>
      <c r="D107" s="22">
        <v>46539</v>
      </c>
      <c r="F107" s="21" t="s">
        <v>136</v>
      </c>
      <c r="G107" s="21" t="s">
        <v>157</v>
      </c>
      <c r="H107" s="23">
        <f t="shared" ca="1" si="17"/>
        <v>138</v>
      </c>
      <c r="I107" s="27">
        <f t="shared" ca="1" si="15"/>
        <v>420.67</v>
      </c>
      <c r="J107" s="26">
        <f t="shared" ca="1" si="16"/>
        <v>0.10289941277394965</v>
      </c>
      <c r="K107" s="27">
        <f ca="1">cubProducts[[#This Row],[Средняя цена]]*cubProducts[[#This Row],[Продано]]*(100% - cubProducts[[#This Row],[Червивость]])</f>
        <v>52078.8959559168</v>
      </c>
      <c r="L107" s="21" t="s">
        <v>233</v>
      </c>
    </row>
    <row r="108" spans="1:12" x14ac:dyDescent="0.25">
      <c r="A108" s="32" t="str">
        <f xml:space="preserve"> _xlfn.XLOOKUP(cubProducts[[#This Row],[Month]], tblCalendar[[#Data],[Month]], tblCalendar[[#Data],[Year]])</f>
        <v>2027</v>
      </c>
      <c r="B108" s="32" t="str">
        <f xml:space="preserve"> _xlfn.XLOOKUP(cubProducts[[#This Row],[Month]], tblCalendar[[#Data],[Month]], tblCalendar[[#Data],[Half Year]])</f>
        <v>2027 H1</v>
      </c>
      <c r="C108" s="32" t="str">
        <f xml:space="preserve"> _xlfn.XLOOKUP(cubProducts[[#This Row],[Month]], tblCalendar[[#Data],[Month]], tblCalendar[[#Data],[Quarter]])</f>
        <v>2027 Q2</v>
      </c>
      <c r="D108" s="22">
        <v>46539</v>
      </c>
      <c r="F108" s="21" t="s">
        <v>136</v>
      </c>
      <c r="G108" s="21" t="s">
        <v>158</v>
      </c>
      <c r="H108" s="23">
        <f t="shared" ca="1" si="17"/>
        <v>15</v>
      </c>
      <c r="I108" s="27">
        <f t="shared" ca="1" si="15"/>
        <v>258.95999999999998</v>
      </c>
      <c r="J108" s="26">
        <f t="shared" ca="1" si="16"/>
        <v>0.70652941434962768</v>
      </c>
      <c r="K108" s="27">
        <f ca="1">cubProducts[[#This Row],[Средняя цена]]*cubProducts[[#This Row],[Продано]]*(100% - cubProducts[[#This Row],[Червивость]])</f>
        <v>1139.9571429003061</v>
      </c>
      <c r="L108" s="21" t="s">
        <v>233</v>
      </c>
    </row>
    <row r="109" spans="1:12" x14ac:dyDescent="0.25">
      <c r="A109" s="32" t="str">
        <f xml:space="preserve"> _xlfn.XLOOKUP(cubProducts[[#This Row],[Month]], tblCalendar[[#Data],[Month]], tblCalendar[[#Data],[Year]])</f>
        <v>2027</v>
      </c>
      <c r="B109" s="32" t="str">
        <f xml:space="preserve"> _xlfn.XLOOKUP(cubProducts[[#This Row],[Month]], tblCalendar[[#Data],[Month]], tblCalendar[[#Data],[Half Year]])</f>
        <v>2027 H1</v>
      </c>
      <c r="C109" s="32" t="str">
        <f xml:space="preserve"> _xlfn.XLOOKUP(cubProducts[[#This Row],[Month]], tblCalendar[[#Data],[Month]], tblCalendar[[#Data],[Quarter]])</f>
        <v>2027 Q2</v>
      </c>
      <c r="D109" s="22">
        <v>46539</v>
      </c>
      <c r="F109" s="21" t="s">
        <v>136</v>
      </c>
      <c r="G109" s="21" t="s">
        <v>159</v>
      </c>
      <c r="H109" s="23">
        <f t="shared" ca="1" si="17"/>
        <v>49</v>
      </c>
      <c r="I109" s="27">
        <f t="shared" ca="1" si="15"/>
        <v>346.71</v>
      </c>
      <c r="J109" s="26">
        <f t="shared" ca="1" si="16"/>
        <v>8.8116413589974796E-2</v>
      </c>
      <c r="K109" s="27">
        <f ca="1">cubProducts[[#This Row],[Средняя цена]]*cubProducts[[#This Row],[Продано]]*(100% - cubProducts[[#This Row],[Червивость]])</f>
        <v>15491.79875396677</v>
      </c>
      <c r="L109" s="21" t="s">
        <v>233</v>
      </c>
    </row>
    <row r="110" spans="1:12" x14ac:dyDescent="0.25">
      <c r="A110" s="32" t="str">
        <f xml:space="preserve"> _xlfn.XLOOKUP(cubProducts[[#This Row],[Month]], tblCalendar[[#Data],[Month]], tblCalendar[[#Data],[Year]])</f>
        <v>2027</v>
      </c>
      <c r="B110" s="32" t="str">
        <f xml:space="preserve"> _xlfn.XLOOKUP(cubProducts[[#This Row],[Month]], tblCalendar[[#Data],[Month]], tblCalendar[[#Data],[Half Year]])</f>
        <v>2027 H1</v>
      </c>
      <c r="C110" s="32" t="str">
        <f xml:space="preserve"> _xlfn.XLOOKUP(cubProducts[[#This Row],[Month]], tblCalendar[[#Data],[Month]], tblCalendar[[#Data],[Quarter]])</f>
        <v>2027 Q2</v>
      </c>
      <c r="D110" s="22">
        <v>46539</v>
      </c>
      <c r="F110" s="21" t="s">
        <v>137</v>
      </c>
      <c r="G110" s="21" t="s">
        <v>160</v>
      </c>
      <c r="H110" s="23">
        <f t="shared" ca="1" si="17"/>
        <v>27</v>
      </c>
      <c r="I110" s="27">
        <f t="shared" ca="1" si="15"/>
        <v>328.3</v>
      </c>
      <c r="J110" s="26">
        <f t="shared" ca="1" si="16"/>
        <v>0.34647346658528411</v>
      </c>
      <c r="K110" s="27">
        <f ca="1">cubProducts[[#This Row],[Средняя цена]]*cubProducts[[#This Row],[Продано]]*(100% - cubProducts[[#This Row],[Червивость]])</f>
        <v>5792.9245448413831</v>
      </c>
      <c r="L110" s="21" t="s">
        <v>233</v>
      </c>
    </row>
    <row r="111" spans="1:12" x14ac:dyDescent="0.25">
      <c r="A111" s="32" t="str">
        <f xml:space="preserve"> _xlfn.XLOOKUP(cubProducts[[#This Row],[Month]], tblCalendar[[#Data],[Month]], tblCalendar[[#Data],[Year]])</f>
        <v>2027</v>
      </c>
      <c r="B111" s="32" t="str">
        <f xml:space="preserve"> _xlfn.XLOOKUP(cubProducts[[#This Row],[Month]], tblCalendar[[#Data],[Month]], tblCalendar[[#Data],[Half Year]])</f>
        <v>2027 H1</v>
      </c>
      <c r="C111" s="32" t="str">
        <f xml:space="preserve"> _xlfn.XLOOKUP(cubProducts[[#This Row],[Month]], tblCalendar[[#Data],[Month]], tblCalendar[[#Data],[Quarter]])</f>
        <v>2027 Q2</v>
      </c>
      <c r="D111" s="22">
        <v>46539</v>
      </c>
      <c r="F111" s="21" t="s">
        <v>137</v>
      </c>
      <c r="G111" s="21" t="s">
        <v>161</v>
      </c>
      <c r="H111" s="23">
        <f t="shared" ca="1" si="17"/>
        <v>59</v>
      </c>
      <c r="I111" s="27">
        <f t="shared" ca="1" si="15"/>
        <v>40.809999999999995</v>
      </c>
      <c r="J111" s="26">
        <f t="shared" ca="1" si="16"/>
        <v>0.41688518103513694</v>
      </c>
      <c r="K111" s="27">
        <f ca="1">cubProducts[[#This Row],[Средняя цена]]*cubProducts[[#This Row],[Продано]]*(100% - cubProducts[[#This Row],[Червивость]])</f>
        <v>1404.0180299554074</v>
      </c>
      <c r="L111" s="21" t="s">
        <v>233</v>
      </c>
    </row>
    <row r="112" spans="1:12" x14ac:dyDescent="0.25">
      <c r="A112" s="32" t="str">
        <f xml:space="preserve"> _xlfn.XLOOKUP(cubProducts[[#This Row],[Month]], tblCalendar[[#Data],[Month]], tblCalendar[[#Data],[Year]])</f>
        <v>2027</v>
      </c>
      <c r="B112" s="32" t="str">
        <f xml:space="preserve"> _xlfn.XLOOKUP(cubProducts[[#This Row],[Month]], tblCalendar[[#Data],[Month]], tblCalendar[[#Data],[Half Year]])</f>
        <v>2027 H2</v>
      </c>
      <c r="C112" s="32" t="str">
        <f xml:space="preserve"> _xlfn.XLOOKUP(cubProducts[[#This Row],[Month]], tblCalendar[[#Data],[Month]], tblCalendar[[#Data],[Quarter]])</f>
        <v>2027 Q3</v>
      </c>
      <c r="D112" s="22">
        <v>46569</v>
      </c>
      <c r="F112" s="21" t="s">
        <v>136</v>
      </c>
      <c r="G112" s="21" t="s">
        <v>157</v>
      </c>
      <c r="H112" s="23">
        <f t="shared" ca="1" si="17"/>
        <v>136</v>
      </c>
      <c r="I112" s="27">
        <f t="shared" ca="1" si="15"/>
        <v>89.52000000000001</v>
      </c>
      <c r="J112" s="26">
        <f t="shared" ca="1" si="16"/>
        <v>0.82134711955701101</v>
      </c>
      <c r="K112" s="27">
        <f ca="1">cubProducts[[#This Row],[Средняя цена]]*cubProducts[[#This Row],[Продано]]*(100% - cubProducts[[#This Row],[Червивость]])</f>
        <v>2175.048796586867</v>
      </c>
      <c r="L112" s="21" t="s">
        <v>233</v>
      </c>
    </row>
    <row r="113" spans="1:12" x14ac:dyDescent="0.25">
      <c r="A113" s="32" t="str">
        <f xml:space="preserve"> _xlfn.XLOOKUP(cubProducts[[#This Row],[Month]], tblCalendar[[#Data],[Month]], tblCalendar[[#Data],[Year]])</f>
        <v>2027</v>
      </c>
      <c r="B113" s="32" t="str">
        <f xml:space="preserve"> _xlfn.XLOOKUP(cubProducts[[#This Row],[Month]], tblCalendar[[#Data],[Month]], tblCalendar[[#Data],[Half Year]])</f>
        <v>2027 H2</v>
      </c>
      <c r="C113" s="32" t="str">
        <f xml:space="preserve"> _xlfn.XLOOKUP(cubProducts[[#This Row],[Month]], tblCalendar[[#Data],[Month]], tblCalendar[[#Data],[Quarter]])</f>
        <v>2027 Q3</v>
      </c>
      <c r="D113" s="22">
        <v>46569</v>
      </c>
      <c r="F113" s="21" t="s">
        <v>136</v>
      </c>
      <c r="G113" s="21" t="s">
        <v>158</v>
      </c>
      <c r="H113" s="23">
        <f t="shared" ca="1" si="17"/>
        <v>187</v>
      </c>
      <c r="I113" s="27">
        <f t="shared" ca="1" si="15"/>
        <v>477.90999999999997</v>
      </c>
      <c r="J113" s="26">
        <f t="shared" ca="1" si="16"/>
        <v>0.61862211209260687</v>
      </c>
      <c r="K113" s="27">
        <f ca="1">cubProducts[[#This Row],[Средняя цена]]*cubProducts[[#This Row],[Продано]]*(100% - cubProducts[[#This Row],[Червивость]])</f>
        <v>34083.425298636757</v>
      </c>
      <c r="L113" s="21" t="s">
        <v>233</v>
      </c>
    </row>
    <row r="114" spans="1:12" x14ac:dyDescent="0.25">
      <c r="A114" s="32" t="str">
        <f xml:space="preserve"> _xlfn.XLOOKUP(cubProducts[[#This Row],[Month]], tblCalendar[[#Data],[Month]], tblCalendar[[#Data],[Year]])</f>
        <v>2027</v>
      </c>
      <c r="B114" s="32" t="str">
        <f xml:space="preserve"> _xlfn.XLOOKUP(cubProducts[[#This Row],[Month]], tblCalendar[[#Data],[Month]], tblCalendar[[#Data],[Half Year]])</f>
        <v>2027 H2</v>
      </c>
      <c r="C114" s="32" t="str">
        <f xml:space="preserve"> _xlfn.XLOOKUP(cubProducts[[#This Row],[Month]], tblCalendar[[#Data],[Month]], tblCalendar[[#Data],[Quarter]])</f>
        <v>2027 Q3</v>
      </c>
      <c r="D114" s="22">
        <v>46569</v>
      </c>
      <c r="F114" s="21" t="s">
        <v>136</v>
      </c>
      <c r="G114" s="21" t="s">
        <v>159</v>
      </c>
      <c r="H114" s="23">
        <f t="shared" ca="1" si="17"/>
        <v>87</v>
      </c>
      <c r="I114" s="27">
        <f t="shared" ref="I114:I141" ca="1" si="18" xml:space="preserve"> ROUNDUP(10 + RAND() * 500, 2)</f>
        <v>289.8</v>
      </c>
      <c r="J114" s="26">
        <f t="shared" ref="J114:J141" ca="1" si="19" xml:space="preserve"> RAND() * 100%</f>
        <v>0.16953856060745742</v>
      </c>
      <c r="K114" s="27">
        <f ca="1">cubProducts[[#This Row],[Средняя цена]]*cubProducts[[#This Row],[Продано]]*(100% - cubProducts[[#This Row],[Червивость]])</f>
        <v>20938.092086828419</v>
      </c>
      <c r="L114" s="21" t="s">
        <v>233</v>
      </c>
    </row>
    <row r="115" spans="1:12" x14ac:dyDescent="0.25">
      <c r="A115" s="32" t="str">
        <f xml:space="preserve"> _xlfn.XLOOKUP(cubProducts[[#This Row],[Month]], tblCalendar[[#Data],[Month]], tblCalendar[[#Data],[Year]])</f>
        <v>2027</v>
      </c>
      <c r="B115" s="32" t="str">
        <f xml:space="preserve"> _xlfn.XLOOKUP(cubProducts[[#This Row],[Month]], tblCalendar[[#Data],[Month]], tblCalendar[[#Data],[Half Year]])</f>
        <v>2027 H2</v>
      </c>
      <c r="C115" s="32" t="str">
        <f xml:space="preserve"> _xlfn.XLOOKUP(cubProducts[[#This Row],[Month]], tblCalendar[[#Data],[Month]], tblCalendar[[#Data],[Quarter]])</f>
        <v>2027 Q3</v>
      </c>
      <c r="D115" s="22">
        <v>46569</v>
      </c>
      <c r="F115" s="21" t="s">
        <v>137</v>
      </c>
      <c r="G115" s="21" t="s">
        <v>160</v>
      </c>
      <c r="H115" s="23">
        <f t="shared" ca="1" si="17"/>
        <v>38</v>
      </c>
      <c r="I115" s="27">
        <f t="shared" ca="1" si="18"/>
        <v>94.01</v>
      </c>
      <c r="J115" s="26">
        <f t="shared" ca="1" si="19"/>
        <v>0.65067457085967395</v>
      </c>
      <c r="K115" s="27">
        <f ca="1">cubProducts[[#This Row],[Средняя цена]]*cubProducts[[#This Row],[Продано]]*(100% - cubProducts[[#This Row],[Червивость]])</f>
        <v>1247.923176552318</v>
      </c>
      <c r="L115" s="21" t="s">
        <v>233</v>
      </c>
    </row>
    <row r="116" spans="1:12" x14ac:dyDescent="0.25">
      <c r="A116" s="32" t="str">
        <f xml:space="preserve"> _xlfn.XLOOKUP(cubProducts[[#This Row],[Month]], tblCalendar[[#Data],[Month]], tblCalendar[[#Data],[Year]])</f>
        <v>2027</v>
      </c>
      <c r="B116" s="32" t="str">
        <f xml:space="preserve"> _xlfn.XLOOKUP(cubProducts[[#This Row],[Month]], tblCalendar[[#Data],[Month]], tblCalendar[[#Data],[Half Year]])</f>
        <v>2027 H2</v>
      </c>
      <c r="C116" s="32" t="str">
        <f xml:space="preserve"> _xlfn.XLOOKUP(cubProducts[[#This Row],[Month]], tblCalendar[[#Data],[Month]], tblCalendar[[#Data],[Quarter]])</f>
        <v>2027 Q3</v>
      </c>
      <c r="D116" s="22">
        <v>46569</v>
      </c>
      <c r="F116" s="21" t="s">
        <v>137</v>
      </c>
      <c r="G116" s="21" t="s">
        <v>161</v>
      </c>
      <c r="H116" s="23">
        <f t="shared" ca="1" si="17"/>
        <v>181</v>
      </c>
      <c r="I116" s="27">
        <f t="shared" ca="1" si="18"/>
        <v>10.029999999999999</v>
      </c>
      <c r="J116" s="26">
        <f t="shared" ca="1" si="19"/>
        <v>0.49111499501029621</v>
      </c>
      <c r="K116" s="27">
        <f ca="1">cubProducts[[#This Row],[Средняя цена]]*cubProducts[[#This Row],[Продано]]*(100% - cubProducts[[#This Row],[Червивость]])</f>
        <v>923.84510460845786</v>
      </c>
      <c r="L116" s="21" t="s">
        <v>233</v>
      </c>
    </row>
    <row r="117" spans="1:12" x14ac:dyDescent="0.25">
      <c r="A117" s="32" t="str">
        <f xml:space="preserve"> _xlfn.XLOOKUP(cubProducts[[#This Row],[Month]], tblCalendar[[#Data],[Month]], tblCalendar[[#Data],[Year]])</f>
        <v>2027</v>
      </c>
      <c r="B117" s="32" t="str">
        <f xml:space="preserve"> _xlfn.XLOOKUP(cubProducts[[#This Row],[Month]], tblCalendar[[#Data],[Month]], tblCalendar[[#Data],[Half Year]])</f>
        <v>2027 H2</v>
      </c>
      <c r="C117" s="32" t="str">
        <f xml:space="preserve"> _xlfn.XLOOKUP(cubProducts[[#This Row],[Month]], tblCalendar[[#Data],[Month]], tblCalendar[[#Data],[Quarter]])</f>
        <v>2027 Q3</v>
      </c>
      <c r="D117" s="22">
        <v>46600</v>
      </c>
      <c r="F117" s="21" t="s">
        <v>136</v>
      </c>
      <c r="G117" s="21" t="s">
        <v>157</v>
      </c>
      <c r="H117" s="23">
        <f t="shared" ca="1" si="17"/>
        <v>1</v>
      </c>
      <c r="I117" s="27">
        <f t="shared" ca="1" si="18"/>
        <v>476.7</v>
      </c>
      <c r="J117" s="26">
        <f t="shared" ca="1" si="19"/>
        <v>0.67145844966076118</v>
      </c>
      <c r="K117" s="27">
        <f ca="1">cubProducts[[#This Row],[Средняя цена]]*cubProducts[[#This Row],[Продано]]*(100% - cubProducts[[#This Row],[Червивость]])</f>
        <v>156.61575704671515</v>
      </c>
      <c r="L117" s="21" t="s">
        <v>233</v>
      </c>
    </row>
    <row r="118" spans="1:12" x14ac:dyDescent="0.25">
      <c r="A118" s="32" t="str">
        <f xml:space="preserve"> _xlfn.XLOOKUP(cubProducts[[#This Row],[Month]], tblCalendar[[#Data],[Month]], tblCalendar[[#Data],[Year]])</f>
        <v>2027</v>
      </c>
      <c r="B118" s="32" t="str">
        <f xml:space="preserve"> _xlfn.XLOOKUP(cubProducts[[#This Row],[Month]], tblCalendar[[#Data],[Month]], tblCalendar[[#Data],[Half Year]])</f>
        <v>2027 H2</v>
      </c>
      <c r="C118" s="32" t="str">
        <f xml:space="preserve"> _xlfn.XLOOKUP(cubProducts[[#This Row],[Month]], tblCalendar[[#Data],[Month]], tblCalendar[[#Data],[Quarter]])</f>
        <v>2027 Q3</v>
      </c>
      <c r="D118" s="22">
        <v>46600</v>
      </c>
      <c r="F118" s="21" t="s">
        <v>136</v>
      </c>
      <c r="G118" s="21" t="s">
        <v>158</v>
      </c>
      <c r="H118" s="23">
        <f t="shared" ca="1" si="17"/>
        <v>37</v>
      </c>
      <c r="I118" s="27">
        <f t="shared" ca="1" si="18"/>
        <v>470.46</v>
      </c>
      <c r="J118" s="26">
        <f t="shared" ca="1" si="19"/>
        <v>0.50063684495321348</v>
      </c>
      <c r="K118" s="27">
        <f ca="1">cubProducts[[#This Row],[Средняя цена]]*cubProducts[[#This Row],[Продано]]*(100% - cubProducts[[#This Row],[Червивость]])</f>
        <v>8692.4244271625139</v>
      </c>
      <c r="L118" s="21" t="s">
        <v>233</v>
      </c>
    </row>
    <row r="119" spans="1:12" x14ac:dyDescent="0.25">
      <c r="A119" s="32" t="str">
        <f xml:space="preserve"> _xlfn.XLOOKUP(cubProducts[[#This Row],[Month]], tblCalendar[[#Data],[Month]], tblCalendar[[#Data],[Year]])</f>
        <v>2027</v>
      </c>
      <c r="B119" s="32" t="str">
        <f xml:space="preserve"> _xlfn.XLOOKUP(cubProducts[[#This Row],[Month]], tblCalendar[[#Data],[Month]], tblCalendar[[#Data],[Half Year]])</f>
        <v>2027 H2</v>
      </c>
      <c r="C119" s="32" t="str">
        <f xml:space="preserve"> _xlfn.XLOOKUP(cubProducts[[#This Row],[Month]], tblCalendar[[#Data],[Month]], tblCalendar[[#Data],[Quarter]])</f>
        <v>2027 Q3</v>
      </c>
      <c r="D119" s="22">
        <v>46600</v>
      </c>
      <c r="F119" s="21" t="s">
        <v>136</v>
      </c>
      <c r="G119" s="21" t="s">
        <v>159</v>
      </c>
      <c r="H119" s="23">
        <f t="shared" ca="1" si="17"/>
        <v>68</v>
      </c>
      <c r="I119" s="27">
        <f t="shared" ca="1" si="18"/>
        <v>457.71999999999997</v>
      </c>
      <c r="J119" s="26">
        <f t="shared" ca="1" si="19"/>
        <v>0.98182030284371435</v>
      </c>
      <c r="K119" s="27">
        <f ca="1">cubProducts[[#This Row],[Средняя цена]]*cubProducts[[#This Row],[Продано]]*(100% - cubProducts[[#This Row],[Червивость]])</f>
        <v>565.8423468015045</v>
      </c>
      <c r="L119" s="21" t="s">
        <v>233</v>
      </c>
    </row>
    <row r="120" spans="1:12" x14ac:dyDescent="0.25">
      <c r="A120" s="32" t="str">
        <f xml:space="preserve"> _xlfn.XLOOKUP(cubProducts[[#This Row],[Month]], tblCalendar[[#Data],[Month]], tblCalendar[[#Data],[Year]])</f>
        <v>2027</v>
      </c>
      <c r="B120" s="32" t="str">
        <f xml:space="preserve"> _xlfn.XLOOKUP(cubProducts[[#This Row],[Month]], tblCalendar[[#Data],[Month]], tblCalendar[[#Data],[Half Year]])</f>
        <v>2027 H2</v>
      </c>
      <c r="C120" s="32" t="str">
        <f xml:space="preserve"> _xlfn.XLOOKUP(cubProducts[[#This Row],[Month]], tblCalendar[[#Data],[Month]], tblCalendar[[#Data],[Quarter]])</f>
        <v>2027 Q3</v>
      </c>
      <c r="D120" s="22">
        <v>46600</v>
      </c>
      <c r="F120" s="21" t="s">
        <v>137</v>
      </c>
      <c r="G120" s="21" t="s">
        <v>160</v>
      </c>
      <c r="H120" s="23">
        <f t="shared" ca="1" si="17"/>
        <v>56</v>
      </c>
      <c r="I120" s="27">
        <f t="shared" ca="1" si="18"/>
        <v>24.860000000000003</v>
      </c>
      <c r="J120" s="26">
        <f t="shared" ca="1" si="19"/>
        <v>6.9698499721221663E-2</v>
      </c>
      <c r="K120" s="27">
        <f ca="1">cubProducts[[#This Row],[Средняя цена]]*cubProducts[[#This Row],[Продано]]*(100% - cubProducts[[#This Row],[Червивость]])</f>
        <v>1295.128536628104</v>
      </c>
      <c r="L120" s="21" t="s">
        <v>233</v>
      </c>
    </row>
    <row r="121" spans="1:12" x14ac:dyDescent="0.25">
      <c r="A121" s="32" t="str">
        <f xml:space="preserve"> _xlfn.XLOOKUP(cubProducts[[#This Row],[Month]], tblCalendar[[#Data],[Month]], tblCalendar[[#Data],[Year]])</f>
        <v>2027</v>
      </c>
      <c r="B121" s="32" t="str">
        <f xml:space="preserve"> _xlfn.XLOOKUP(cubProducts[[#This Row],[Month]], tblCalendar[[#Data],[Month]], tblCalendar[[#Data],[Half Year]])</f>
        <v>2027 H2</v>
      </c>
      <c r="C121" s="32" t="str">
        <f xml:space="preserve"> _xlfn.XLOOKUP(cubProducts[[#This Row],[Month]], tblCalendar[[#Data],[Month]], tblCalendar[[#Data],[Quarter]])</f>
        <v>2027 Q3</v>
      </c>
      <c r="D121" s="22">
        <v>46600</v>
      </c>
      <c r="F121" s="21" t="s">
        <v>137</v>
      </c>
      <c r="G121" s="21" t="s">
        <v>161</v>
      </c>
      <c r="H121" s="23">
        <f t="shared" ca="1" si="17"/>
        <v>102</v>
      </c>
      <c r="I121" s="27">
        <f t="shared" ca="1" si="18"/>
        <v>292.88</v>
      </c>
      <c r="J121" s="26">
        <f t="shared" ca="1" si="19"/>
        <v>0.7387904259593886</v>
      </c>
      <c r="K121" s="27">
        <f ca="1">cubProducts[[#This Row],[Средняя цена]]*cubProducts[[#This Row],[Продано]]*(100% - cubProducts[[#This Row],[Червивость]])</f>
        <v>7803.3121245914544</v>
      </c>
      <c r="L121" s="21" t="s">
        <v>233</v>
      </c>
    </row>
    <row r="122" spans="1:12" x14ac:dyDescent="0.25">
      <c r="A122" s="32">
        <f xml:space="preserve"> _xlfn.XLOOKUP(cubProducts[[#This Row],[Month]], tblCalendar[[#Data],[Month]], tblCalendar[[#Data],[Year]])</f>
        <v>2025</v>
      </c>
      <c r="B122" s="32" t="str">
        <f xml:space="preserve"> _xlfn.XLOOKUP(cubProducts[[#This Row],[Month]], tblCalendar[[#Data],[Month]], tblCalendar[[#Data],[Half Year]])</f>
        <v>2025 H2</v>
      </c>
      <c r="C122" s="32" t="str">
        <f xml:space="preserve"> _xlfn.XLOOKUP(cubProducts[[#This Row],[Month]], tblCalendar[[#Data],[Month]], tblCalendar[[#Data],[Quarter]])</f>
        <v>2025 Q3</v>
      </c>
      <c r="D122" s="22">
        <v>45901</v>
      </c>
      <c r="F122" s="21" t="s">
        <v>136</v>
      </c>
      <c r="G122" s="21" t="s">
        <v>157</v>
      </c>
      <c r="H122" s="23">
        <f t="shared" ca="1" si="17"/>
        <v>190</v>
      </c>
      <c r="I122" s="27">
        <f t="shared" ca="1" si="18"/>
        <v>148.59</v>
      </c>
      <c r="J122" s="26">
        <f t="shared" ca="1" si="19"/>
        <v>0.26052182568308457</v>
      </c>
      <c r="K122" s="27">
        <f ca="1">cubProducts[[#This Row],[Средняя цена]]*cubProducts[[#This Row],[Продано]]*(100% - cubProducts[[#This Row],[Червивость]])</f>
        <v>20877.021765132591</v>
      </c>
      <c r="L122" s="21" t="s">
        <v>233</v>
      </c>
    </row>
    <row r="123" spans="1:12" x14ac:dyDescent="0.25">
      <c r="A123" s="32">
        <f xml:space="preserve"> _xlfn.XLOOKUP(cubProducts[[#This Row],[Month]], tblCalendar[[#Data],[Month]], tblCalendar[[#Data],[Year]])</f>
        <v>2025</v>
      </c>
      <c r="B123" s="32" t="str">
        <f xml:space="preserve"> _xlfn.XLOOKUP(cubProducts[[#This Row],[Month]], tblCalendar[[#Data],[Month]], tblCalendar[[#Data],[Half Year]])</f>
        <v>2025 H2</v>
      </c>
      <c r="C123" s="32" t="str">
        <f xml:space="preserve"> _xlfn.XLOOKUP(cubProducts[[#This Row],[Month]], tblCalendar[[#Data],[Month]], tblCalendar[[#Data],[Quarter]])</f>
        <v>2025 Q3</v>
      </c>
      <c r="D123" s="22">
        <v>45901</v>
      </c>
      <c r="F123" s="21" t="s">
        <v>136</v>
      </c>
      <c r="G123" s="21" t="s">
        <v>158</v>
      </c>
      <c r="H123" s="23">
        <f t="shared" ca="1" si="17"/>
        <v>116</v>
      </c>
      <c r="I123" s="27">
        <f t="shared" ca="1" si="18"/>
        <v>193.2</v>
      </c>
      <c r="J123" s="26">
        <f t="shared" ca="1" si="19"/>
        <v>0.28996930662713016</v>
      </c>
      <c r="K123" s="27">
        <f ca="1">cubProducts[[#This Row],[Средняя цена]]*cubProducts[[#This Row],[Продано]]*(100% - cubProducts[[#This Row],[Червивость]])</f>
        <v>15912.639875318058</v>
      </c>
      <c r="L123" s="21" t="s">
        <v>233</v>
      </c>
    </row>
    <row r="124" spans="1:12" x14ac:dyDescent="0.25">
      <c r="A124" s="32">
        <f xml:space="preserve"> _xlfn.XLOOKUP(cubProducts[[#This Row],[Month]], tblCalendar[[#Data],[Month]], tblCalendar[[#Data],[Year]])</f>
        <v>2025</v>
      </c>
      <c r="B124" s="32" t="str">
        <f xml:space="preserve"> _xlfn.XLOOKUP(cubProducts[[#This Row],[Month]], tblCalendar[[#Data],[Month]], tblCalendar[[#Data],[Half Year]])</f>
        <v>2025 H2</v>
      </c>
      <c r="C124" s="32" t="str">
        <f xml:space="preserve"> _xlfn.XLOOKUP(cubProducts[[#This Row],[Month]], tblCalendar[[#Data],[Month]], tblCalendar[[#Data],[Quarter]])</f>
        <v>2025 Q3</v>
      </c>
      <c r="D124" s="22">
        <v>45901</v>
      </c>
      <c r="F124" s="21" t="s">
        <v>136</v>
      </c>
      <c r="G124" s="21" t="s">
        <v>159</v>
      </c>
      <c r="H124" s="23">
        <f t="shared" ca="1" si="17"/>
        <v>27</v>
      </c>
      <c r="I124" s="27">
        <f t="shared" ca="1" si="18"/>
        <v>276.40999999999997</v>
      </c>
      <c r="J124" s="26">
        <f t="shared" ca="1" si="19"/>
        <v>0.44862407280612537</v>
      </c>
      <c r="K124" s="27">
        <f ca="1">cubProducts[[#This Row],[Средняя цена]]*cubProducts[[#This Row],[Продано]]*(100% - cubProducts[[#This Row],[Червивость]])</f>
        <v>4114.9571409627888</v>
      </c>
      <c r="L124" s="21" t="s">
        <v>233</v>
      </c>
    </row>
    <row r="125" spans="1:12" x14ac:dyDescent="0.25">
      <c r="A125" s="32">
        <f xml:space="preserve"> _xlfn.XLOOKUP(cubProducts[[#This Row],[Month]], tblCalendar[[#Data],[Month]], tblCalendar[[#Data],[Year]])</f>
        <v>2025</v>
      </c>
      <c r="B125" s="32" t="str">
        <f xml:space="preserve"> _xlfn.XLOOKUP(cubProducts[[#This Row],[Month]], tblCalendar[[#Data],[Month]], tblCalendar[[#Data],[Half Year]])</f>
        <v>2025 H2</v>
      </c>
      <c r="C125" s="32" t="str">
        <f xml:space="preserve"> _xlfn.XLOOKUP(cubProducts[[#This Row],[Month]], tblCalendar[[#Data],[Month]], tblCalendar[[#Data],[Quarter]])</f>
        <v>2025 Q3</v>
      </c>
      <c r="D125" s="22">
        <v>45901</v>
      </c>
      <c r="F125" s="21" t="s">
        <v>137</v>
      </c>
      <c r="G125" s="21" t="s">
        <v>160</v>
      </c>
      <c r="H125" s="23">
        <f t="shared" ca="1" si="17"/>
        <v>192</v>
      </c>
      <c r="I125" s="27">
        <f t="shared" ca="1" si="18"/>
        <v>421.71</v>
      </c>
      <c r="J125" s="26">
        <f t="shared" ca="1" si="19"/>
        <v>0.75676899232327743</v>
      </c>
      <c r="K125" s="27">
        <f ca="1">cubProducts[[#This Row],[Средняя цена]]*cubProducts[[#This Row],[Продано]]*(100% - cubProducts[[#This Row],[Червивость]])</f>
        <v>19694.006063491328</v>
      </c>
      <c r="L125" s="21" t="s">
        <v>233</v>
      </c>
    </row>
    <row r="126" spans="1:12" x14ac:dyDescent="0.25">
      <c r="A126" s="32">
        <f xml:space="preserve"> _xlfn.XLOOKUP(cubProducts[[#This Row],[Month]], tblCalendar[[#Data],[Month]], tblCalendar[[#Data],[Year]])</f>
        <v>2025</v>
      </c>
      <c r="B126" s="32" t="str">
        <f xml:space="preserve"> _xlfn.XLOOKUP(cubProducts[[#This Row],[Month]], tblCalendar[[#Data],[Month]], tblCalendar[[#Data],[Half Year]])</f>
        <v>2025 H2</v>
      </c>
      <c r="C126" s="32" t="str">
        <f xml:space="preserve"> _xlfn.XLOOKUP(cubProducts[[#This Row],[Month]], tblCalendar[[#Data],[Month]], tblCalendar[[#Data],[Quarter]])</f>
        <v>2025 Q3</v>
      </c>
      <c r="D126" s="22">
        <v>45901</v>
      </c>
      <c r="F126" s="21" t="s">
        <v>137</v>
      </c>
      <c r="G126" s="21" t="s">
        <v>161</v>
      </c>
      <c r="H126" s="23">
        <f t="shared" ca="1" si="17"/>
        <v>103</v>
      </c>
      <c r="I126" s="27">
        <f t="shared" ca="1" si="18"/>
        <v>386.55</v>
      </c>
      <c r="J126" s="26">
        <f t="shared" ca="1" si="19"/>
        <v>0.31173213006299372</v>
      </c>
      <c r="K126" s="27">
        <f ca="1">cubProducts[[#This Row],[Средняя цена]]*cubProducts[[#This Row],[Продано]]*(100% - cubProducts[[#This Row],[Червивость]])</f>
        <v>27403.144347787427</v>
      </c>
      <c r="L126" s="21" t="s">
        <v>233</v>
      </c>
    </row>
    <row r="127" spans="1:12" x14ac:dyDescent="0.25">
      <c r="A127" s="32" t="str">
        <f xml:space="preserve"> _xlfn.XLOOKUP(cubProducts[[#This Row],[Month]], tblCalendar[[#Data],[Month]], tblCalendar[[#Data],[Year]])</f>
        <v>2027</v>
      </c>
      <c r="B127" s="32" t="str">
        <f xml:space="preserve"> _xlfn.XLOOKUP(cubProducts[[#This Row],[Month]], tblCalendar[[#Data],[Month]], tblCalendar[[#Data],[Half Year]])</f>
        <v>2027 H2</v>
      </c>
      <c r="C127" s="32" t="str">
        <f xml:space="preserve"> _xlfn.XLOOKUP(cubProducts[[#This Row],[Month]], tblCalendar[[#Data],[Month]], tblCalendar[[#Data],[Quarter]])</f>
        <v>2027 Q4</v>
      </c>
      <c r="D127" s="22">
        <v>46661</v>
      </c>
      <c r="F127" s="21" t="s">
        <v>136</v>
      </c>
      <c r="G127" s="21" t="s">
        <v>157</v>
      </c>
      <c r="H127" s="23">
        <f t="shared" ca="1" si="17"/>
        <v>67</v>
      </c>
      <c r="I127" s="27">
        <f t="shared" ca="1" si="18"/>
        <v>143.89999999999998</v>
      </c>
      <c r="J127" s="26">
        <f t="shared" ca="1" si="19"/>
        <v>9.2039133375191429E-2</v>
      </c>
      <c r="K127" s="27">
        <f ca="1">cubProducts[[#This Row],[Средняя цена]]*cubProducts[[#This Row],[Продано]]*(100% - cubProducts[[#This Row],[Червивость]])</f>
        <v>8753.9231033897668</v>
      </c>
      <c r="L127" s="21" t="s">
        <v>233</v>
      </c>
    </row>
    <row r="128" spans="1:12" x14ac:dyDescent="0.25">
      <c r="A128" s="32" t="str">
        <f xml:space="preserve"> _xlfn.XLOOKUP(cubProducts[[#This Row],[Month]], tblCalendar[[#Data],[Month]], tblCalendar[[#Data],[Year]])</f>
        <v>2027</v>
      </c>
      <c r="B128" s="32" t="str">
        <f xml:space="preserve"> _xlfn.XLOOKUP(cubProducts[[#This Row],[Month]], tblCalendar[[#Data],[Month]], tblCalendar[[#Data],[Half Year]])</f>
        <v>2027 H2</v>
      </c>
      <c r="C128" s="32" t="str">
        <f xml:space="preserve"> _xlfn.XLOOKUP(cubProducts[[#This Row],[Month]], tblCalendar[[#Data],[Month]], tblCalendar[[#Data],[Quarter]])</f>
        <v>2027 Q4</v>
      </c>
      <c r="D128" s="22">
        <v>46661</v>
      </c>
      <c r="F128" s="21" t="s">
        <v>136</v>
      </c>
      <c r="G128" s="21" t="s">
        <v>158</v>
      </c>
      <c r="H128" s="23">
        <f t="shared" ca="1" si="17"/>
        <v>55</v>
      </c>
      <c r="I128" s="27">
        <f t="shared" ca="1" si="18"/>
        <v>470.28999999999996</v>
      </c>
      <c r="J128" s="26">
        <f t="shared" ca="1" si="19"/>
        <v>0.90931877540011385</v>
      </c>
      <c r="K128" s="27">
        <f ca="1">cubProducts[[#This Row],[Средняя цена]]*cubProducts[[#This Row],[Продано]]*(100% - cubProducts[[#This Row],[Червивость]])</f>
        <v>2345.556021439425</v>
      </c>
      <c r="L128" s="21" t="s">
        <v>233</v>
      </c>
    </row>
    <row r="129" spans="1:12" x14ac:dyDescent="0.25">
      <c r="A129" s="32" t="str">
        <f xml:space="preserve"> _xlfn.XLOOKUP(cubProducts[[#This Row],[Month]], tblCalendar[[#Data],[Month]], tblCalendar[[#Data],[Year]])</f>
        <v>2027</v>
      </c>
      <c r="B129" s="32" t="str">
        <f xml:space="preserve"> _xlfn.XLOOKUP(cubProducts[[#This Row],[Month]], tblCalendar[[#Data],[Month]], tblCalendar[[#Data],[Half Year]])</f>
        <v>2027 H2</v>
      </c>
      <c r="C129" s="32" t="str">
        <f xml:space="preserve"> _xlfn.XLOOKUP(cubProducts[[#This Row],[Month]], tblCalendar[[#Data],[Month]], tblCalendar[[#Data],[Quarter]])</f>
        <v>2027 Q4</v>
      </c>
      <c r="D129" s="22">
        <v>46661</v>
      </c>
      <c r="F129" s="21" t="s">
        <v>136</v>
      </c>
      <c r="G129" s="21" t="s">
        <v>159</v>
      </c>
      <c r="H129" s="23">
        <f t="shared" ca="1" si="17"/>
        <v>118</v>
      </c>
      <c r="I129" s="27">
        <f t="shared" ca="1" si="18"/>
        <v>241.81</v>
      </c>
      <c r="J129" s="26">
        <f t="shared" ca="1" si="19"/>
        <v>0.46183283504956341</v>
      </c>
      <c r="K129" s="27">
        <f ca="1">cubProducts[[#This Row],[Средняя цена]]*cubProducts[[#This Row],[Продано]]*(100% - cubProducts[[#This Row],[Червивость]])</f>
        <v>15355.835854486479</v>
      </c>
      <c r="L129" s="21" t="s">
        <v>233</v>
      </c>
    </row>
    <row r="130" spans="1:12" x14ac:dyDescent="0.25">
      <c r="A130" s="32" t="str">
        <f xml:space="preserve"> _xlfn.XLOOKUP(cubProducts[[#This Row],[Month]], tblCalendar[[#Data],[Month]], tblCalendar[[#Data],[Year]])</f>
        <v>2027</v>
      </c>
      <c r="B130" s="32" t="str">
        <f xml:space="preserve"> _xlfn.XLOOKUP(cubProducts[[#This Row],[Month]], tblCalendar[[#Data],[Month]], tblCalendar[[#Data],[Half Year]])</f>
        <v>2027 H2</v>
      </c>
      <c r="C130" s="32" t="str">
        <f xml:space="preserve"> _xlfn.XLOOKUP(cubProducts[[#This Row],[Month]], tblCalendar[[#Data],[Month]], tblCalendar[[#Data],[Quarter]])</f>
        <v>2027 Q4</v>
      </c>
      <c r="D130" s="22">
        <v>46661</v>
      </c>
      <c r="F130" s="21" t="s">
        <v>137</v>
      </c>
      <c r="G130" s="21" t="s">
        <v>160</v>
      </c>
      <c r="H130" s="23">
        <f t="shared" ref="H130:H141" ca="1" si="20" xml:space="preserve"> RANDBETWEEN(0,200)</f>
        <v>162</v>
      </c>
      <c r="I130" s="27">
        <f t="shared" ca="1" si="18"/>
        <v>471.18</v>
      </c>
      <c r="J130" s="26">
        <f t="shared" ca="1" si="19"/>
        <v>4.7030575352002391E-2</v>
      </c>
      <c r="K130" s="27">
        <f ca="1">cubProducts[[#This Row],[Средняя цена]]*cubProducts[[#This Row],[Продано]]*(100% - cubProducts[[#This Row],[Червивость]])</f>
        <v>72741.261627914253</v>
      </c>
      <c r="L130" s="21" t="s">
        <v>233</v>
      </c>
    </row>
    <row r="131" spans="1:12" x14ac:dyDescent="0.25">
      <c r="A131" s="32" t="str">
        <f xml:space="preserve"> _xlfn.XLOOKUP(cubProducts[[#This Row],[Month]], tblCalendar[[#Data],[Month]], tblCalendar[[#Data],[Year]])</f>
        <v>2027</v>
      </c>
      <c r="B131" s="32" t="str">
        <f xml:space="preserve"> _xlfn.XLOOKUP(cubProducts[[#This Row],[Month]], tblCalendar[[#Data],[Month]], tblCalendar[[#Data],[Half Year]])</f>
        <v>2027 H2</v>
      </c>
      <c r="C131" s="32" t="str">
        <f xml:space="preserve"> _xlfn.XLOOKUP(cubProducts[[#This Row],[Month]], tblCalendar[[#Data],[Month]], tblCalendar[[#Data],[Quarter]])</f>
        <v>2027 Q4</v>
      </c>
      <c r="D131" s="22">
        <v>46661</v>
      </c>
      <c r="F131" s="21" t="s">
        <v>137</v>
      </c>
      <c r="G131" s="21" t="s">
        <v>161</v>
      </c>
      <c r="H131" s="23">
        <f t="shared" ca="1" si="20"/>
        <v>103</v>
      </c>
      <c r="I131" s="27">
        <f t="shared" ca="1" si="18"/>
        <v>456.23</v>
      </c>
      <c r="J131" s="26">
        <f t="shared" ca="1" si="19"/>
        <v>0.92361195149505637</v>
      </c>
      <c r="K131" s="27">
        <f ca="1">cubProducts[[#This Row],[Средняя цена]]*cubProducts[[#This Row],[Продано]]*(100% - cubProducts[[#This Row],[Червивость]])</f>
        <v>3589.6034950492744</v>
      </c>
      <c r="L131" s="21" t="s">
        <v>233</v>
      </c>
    </row>
    <row r="132" spans="1:12" x14ac:dyDescent="0.25">
      <c r="A132" s="32" t="str">
        <f xml:space="preserve"> _xlfn.XLOOKUP(cubProducts[[#This Row],[Month]], tblCalendar[[#Data],[Month]], tblCalendar[[#Data],[Year]])</f>
        <v>2027</v>
      </c>
      <c r="B132" s="32" t="str">
        <f xml:space="preserve"> _xlfn.XLOOKUP(cubProducts[[#This Row],[Month]], tblCalendar[[#Data],[Month]], tblCalendar[[#Data],[Half Year]])</f>
        <v>2027 H2</v>
      </c>
      <c r="C132" s="32" t="str">
        <f xml:space="preserve"> _xlfn.XLOOKUP(cubProducts[[#This Row],[Month]], tblCalendar[[#Data],[Month]], tblCalendar[[#Data],[Quarter]])</f>
        <v>2027 Q4</v>
      </c>
      <c r="D132" s="22">
        <v>46692</v>
      </c>
      <c r="F132" s="21" t="s">
        <v>136</v>
      </c>
      <c r="G132" s="21" t="s">
        <v>157</v>
      </c>
      <c r="H132" s="23">
        <f t="shared" ca="1" si="20"/>
        <v>154</v>
      </c>
      <c r="I132" s="27">
        <f t="shared" ca="1" si="18"/>
        <v>440.78999999999996</v>
      </c>
      <c r="J132" s="26">
        <f t="shared" ca="1" si="19"/>
        <v>0.59001566796295279</v>
      </c>
      <c r="K132" s="27">
        <f ca="1">cubProducts[[#This Row],[Средняя цена]]*cubProducts[[#This Row],[Продано]]*(100% - cubProducts[[#This Row],[Червивость]])</f>
        <v>27830.41703266594</v>
      </c>
      <c r="L132" s="21" t="s">
        <v>233</v>
      </c>
    </row>
    <row r="133" spans="1:12" x14ac:dyDescent="0.25">
      <c r="A133" s="32" t="str">
        <f xml:space="preserve"> _xlfn.XLOOKUP(cubProducts[[#This Row],[Month]], tblCalendar[[#Data],[Month]], tblCalendar[[#Data],[Year]])</f>
        <v>2027</v>
      </c>
      <c r="B133" s="32" t="str">
        <f xml:space="preserve"> _xlfn.XLOOKUP(cubProducts[[#This Row],[Month]], tblCalendar[[#Data],[Month]], tblCalendar[[#Data],[Half Year]])</f>
        <v>2027 H2</v>
      </c>
      <c r="C133" s="32" t="str">
        <f xml:space="preserve"> _xlfn.XLOOKUP(cubProducts[[#This Row],[Month]], tblCalendar[[#Data],[Month]], tblCalendar[[#Data],[Quarter]])</f>
        <v>2027 Q4</v>
      </c>
      <c r="D133" s="22">
        <v>46692</v>
      </c>
      <c r="F133" s="21" t="s">
        <v>136</v>
      </c>
      <c r="G133" s="21" t="s">
        <v>158</v>
      </c>
      <c r="H133" s="23">
        <f t="shared" ca="1" si="20"/>
        <v>9</v>
      </c>
      <c r="I133" s="27">
        <f t="shared" ca="1" si="18"/>
        <v>498.69</v>
      </c>
      <c r="J133" s="26">
        <f t="shared" ca="1" si="19"/>
        <v>0.75501644216010155</v>
      </c>
      <c r="K133" s="27">
        <f ca="1">cubProducts[[#This Row],[Средняя цена]]*cubProducts[[#This Row],[Продано]]*(100% - cubProducts[[#This Row],[Червивость]])</f>
        <v>1099.5376541326107</v>
      </c>
      <c r="L133" s="21" t="s">
        <v>233</v>
      </c>
    </row>
    <row r="134" spans="1:12" x14ac:dyDescent="0.25">
      <c r="A134" s="32" t="str">
        <f xml:space="preserve"> _xlfn.XLOOKUP(cubProducts[[#This Row],[Month]], tblCalendar[[#Data],[Month]], tblCalendar[[#Data],[Year]])</f>
        <v>2027</v>
      </c>
      <c r="B134" s="32" t="str">
        <f xml:space="preserve"> _xlfn.XLOOKUP(cubProducts[[#This Row],[Month]], tblCalendar[[#Data],[Month]], tblCalendar[[#Data],[Half Year]])</f>
        <v>2027 H2</v>
      </c>
      <c r="C134" s="32" t="str">
        <f xml:space="preserve"> _xlfn.XLOOKUP(cubProducts[[#This Row],[Month]], tblCalendar[[#Data],[Month]], tblCalendar[[#Data],[Quarter]])</f>
        <v>2027 Q4</v>
      </c>
      <c r="D134" s="22">
        <v>46692</v>
      </c>
      <c r="F134" s="21" t="s">
        <v>136</v>
      </c>
      <c r="G134" s="21" t="s">
        <v>159</v>
      </c>
      <c r="H134" s="23">
        <f t="shared" ca="1" si="20"/>
        <v>134</v>
      </c>
      <c r="I134" s="27">
        <f t="shared" ca="1" si="18"/>
        <v>478.78999999999996</v>
      </c>
      <c r="J134" s="26">
        <f t="shared" ca="1" si="19"/>
        <v>0.69697154307583919</v>
      </c>
      <c r="K134" s="27">
        <f ca="1">cubProducts[[#This Row],[Средняя цена]]*cubProducts[[#This Row],[Продано]]*(100% - cubProducts[[#This Row],[Червивость]])</f>
        <v>19441.657315356337</v>
      </c>
      <c r="L134" s="21" t="s">
        <v>233</v>
      </c>
    </row>
    <row r="135" spans="1:12" x14ac:dyDescent="0.25">
      <c r="A135" s="32" t="str">
        <f xml:space="preserve"> _xlfn.XLOOKUP(cubProducts[[#This Row],[Month]], tblCalendar[[#Data],[Month]], tblCalendar[[#Data],[Year]])</f>
        <v>2027</v>
      </c>
      <c r="B135" s="32" t="str">
        <f xml:space="preserve"> _xlfn.XLOOKUP(cubProducts[[#This Row],[Month]], tblCalendar[[#Data],[Month]], tblCalendar[[#Data],[Half Year]])</f>
        <v>2027 H2</v>
      </c>
      <c r="C135" s="32" t="str">
        <f xml:space="preserve"> _xlfn.XLOOKUP(cubProducts[[#This Row],[Month]], tblCalendar[[#Data],[Month]], tblCalendar[[#Data],[Quarter]])</f>
        <v>2027 Q4</v>
      </c>
      <c r="D135" s="22">
        <v>46692</v>
      </c>
      <c r="F135" s="21" t="s">
        <v>137</v>
      </c>
      <c r="G135" s="21" t="s">
        <v>160</v>
      </c>
      <c r="H135" s="23">
        <f t="shared" ca="1" si="20"/>
        <v>162</v>
      </c>
      <c r="I135" s="27">
        <f t="shared" ca="1" si="18"/>
        <v>115.53</v>
      </c>
      <c r="J135" s="26">
        <f t="shared" ca="1" si="19"/>
        <v>0.26354504568521353</v>
      </c>
      <c r="K135" s="27">
        <f ca="1">cubProducts[[#This Row],[Средняя цена]]*cubProducts[[#This Row],[Продано]]*(100% - cubProducts[[#This Row],[Червивость]])</f>
        <v>13783.38782126194</v>
      </c>
      <c r="L135" s="21" t="s">
        <v>233</v>
      </c>
    </row>
    <row r="136" spans="1:12" x14ac:dyDescent="0.25">
      <c r="A136" s="32" t="str">
        <f xml:space="preserve"> _xlfn.XLOOKUP(cubProducts[[#This Row],[Month]], tblCalendar[[#Data],[Month]], tblCalendar[[#Data],[Year]])</f>
        <v>2027</v>
      </c>
      <c r="B136" s="32" t="str">
        <f xml:space="preserve"> _xlfn.XLOOKUP(cubProducts[[#This Row],[Month]], tblCalendar[[#Data],[Month]], tblCalendar[[#Data],[Half Year]])</f>
        <v>2027 H2</v>
      </c>
      <c r="C136" s="32" t="str">
        <f xml:space="preserve"> _xlfn.XLOOKUP(cubProducts[[#This Row],[Month]], tblCalendar[[#Data],[Month]], tblCalendar[[#Data],[Quarter]])</f>
        <v>2027 Q4</v>
      </c>
      <c r="D136" s="22">
        <v>46692</v>
      </c>
      <c r="F136" s="21" t="s">
        <v>137</v>
      </c>
      <c r="G136" s="21" t="s">
        <v>161</v>
      </c>
      <c r="H136" s="23">
        <f t="shared" ca="1" si="20"/>
        <v>15</v>
      </c>
      <c r="I136" s="27">
        <f t="shared" ca="1" si="18"/>
        <v>273.71999999999997</v>
      </c>
      <c r="J136" s="26">
        <f t="shared" ca="1" si="19"/>
        <v>0.1118651564202956</v>
      </c>
      <c r="K136" s="27">
        <f ca="1">cubProducts[[#This Row],[Средняя цена]]*cubProducts[[#This Row],[Продано]]*(100% - cubProducts[[#This Row],[Червивость]])</f>
        <v>3646.5040407695496</v>
      </c>
      <c r="L136" s="21" t="s">
        <v>233</v>
      </c>
    </row>
    <row r="137" spans="1:12" x14ac:dyDescent="0.25">
      <c r="A137" s="32" t="str">
        <f xml:space="preserve"> _xlfn.XLOOKUP(cubProducts[[#This Row],[Month]], tblCalendar[[#Data],[Month]], tblCalendar[[#Data],[Year]])</f>
        <v>2027</v>
      </c>
      <c r="B137" s="32" t="str">
        <f xml:space="preserve"> _xlfn.XLOOKUP(cubProducts[[#This Row],[Month]], tblCalendar[[#Data],[Month]], tblCalendar[[#Data],[Half Year]])</f>
        <v>2027 H2</v>
      </c>
      <c r="C137" s="32" t="str">
        <f xml:space="preserve"> _xlfn.XLOOKUP(cubProducts[[#This Row],[Month]], tblCalendar[[#Data],[Month]], tblCalendar[[#Data],[Quarter]])</f>
        <v>2027 Q4</v>
      </c>
      <c r="D137" s="22">
        <v>46722</v>
      </c>
      <c r="F137" s="21" t="s">
        <v>136</v>
      </c>
      <c r="G137" s="21" t="s">
        <v>157</v>
      </c>
      <c r="H137" s="23">
        <f t="shared" ca="1" si="20"/>
        <v>199</v>
      </c>
      <c r="I137" s="27">
        <f t="shared" ca="1" si="18"/>
        <v>326.20999999999998</v>
      </c>
      <c r="J137" s="26">
        <f t="shared" ca="1" si="19"/>
        <v>0.6631782938264118</v>
      </c>
      <c r="K137" s="27">
        <f ca="1">cubProducts[[#This Row],[Средняя цена]]*cubProducts[[#This Row],[Продано]]*(100% - cubProducts[[#This Row],[Червивость]])</f>
        <v>21865.047145406352</v>
      </c>
      <c r="L137" s="21" t="s">
        <v>233</v>
      </c>
    </row>
    <row r="138" spans="1:12" x14ac:dyDescent="0.25">
      <c r="A138" s="32" t="str">
        <f xml:space="preserve"> _xlfn.XLOOKUP(cubProducts[[#This Row],[Month]], tblCalendar[[#Data],[Month]], tblCalendar[[#Data],[Year]])</f>
        <v>2027</v>
      </c>
      <c r="B138" s="32" t="str">
        <f xml:space="preserve"> _xlfn.XLOOKUP(cubProducts[[#This Row],[Month]], tblCalendar[[#Data],[Month]], tblCalendar[[#Data],[Half Year]])</f>
        <v>2027 H2</v>
      </c>
      <c r="C138" s="32" t="str">
        <f xml:space="preserve"> _xlfn.XLOOKUP(cubProducts[[#This Row],[Month]], tblCalendar[[#Data],[Month]], tblCalendar[[#Data],[Quarter]])</f>
        <v>2027 Q4</v>
      </c>
      <c r="D138" s="22">
        <v>46722</v>
      </c>
      <c r="F138" s="21" t="s">
        <v>136</v>
      </c>
      <c r="G138" s="21" t="s">
        <v>158</v>
      </c>
      <c r="H138" s="23">
        <f t="shared" ca="1" si="20"/>
        <v>96</v>
      </c>
      <c r="I138" s="27">
        <f t="shared" ca="1" si="18"/>
        <v>306.46999999999997</v>
      </c>
      <c r="J138" s="26">
        <f t="shared" ca="1" si="19"/>
        <v>0.9917816273797162</v>
      </c>
      <c r="K138" s="27">
        <f ca="1">cubProducts[[#This Row],[Средняя цена]]*cubProducts[[#This Row],[Продано]]*(100% - cubProducts[[#This Row],[Червивость]])</f>
        <v>241.79372706608402</v>
      </c>
      <c r="L138" s="21" t="s">
        <v>233</v>
      </c>
    </row>
    <row r="139" spans="1:12" x14ac:dyDescent="0.25">
      <c r="A139" s="32" t="str">
        <f xml:space="preserve"> _xlfn.XLOOKUP(cubProducts[[#This Row],[Month]], tblCalendar[[#Data],[Month]], tblCalendar[[#Data],[Year]])</f>
        <v>2027</v>
      </c>
      <c r="B139" s="32" t="str">
        <f xml:space="preserve"> _xlfn.XLOOKUP(cubProducts[[#This Row],[Month]], tblCalendar[[#Data],[Month]], tblCalendar[[#Data],[Half Year]])</f>
        <v>2027 H2</v>
      </c>
      <c r="C139" s="32" t="str">
        <f xml:space="preserve"> _xlfn.XLOOKUP(cubProducts[[#This Row],[Month]], tblCalendar[[#Data],[Month]], tblCalendar[[#Data],[Quarter]])</f>
        <v>2027 Q4</v>
      </c>
      <c r="D139" s="22">
        <v>46722</v>
      </c>
      <c r="F139" s="21" t="s">
        <v>136</v>
      </c>
      <c r="G139" s="21" t="s">
        <v>159</v>
      </c>
      <c r="H139" s="23">
        <f t="shared" ca="1" si="20"/>
        <v>159</v>
      </c>
      <c r="I139" s="27">
        <f t="shared" ca="1" si="18"/>
        <v>354.78</v>
      </c>
      <c r="J139" s="26">
        <f t="shared" ca="1" si="19"/>
        <v>0.50224372506703552</v>
      </c>
      <c r="K139" s="27">
        <f ca="1">cubProducts[[#This Row],[Средняя цена]]*cubProducts[[#This Row],[Продано]]*(100% - cubProducts[[#This Row],[Червивость]])</f>
        <v>28078.441424094024</v>
      </c>
      <c r="L139" s="21" t="s">
        <v>233</v>
      </c>
    </row>
    <row r="140" spans="1:12" x14ac:dyDescent="0.25">
      <c r="A140" s="32" t="str">
        <f xml:space="preserve"> _xlfn.XLOOKUP(cubProducts[[#This Row],[Month]], tblCalendar[[#Data],[Month]], tblCalendar[[#Data],[Year]])</f>
        <v>2027</v>
      </c>
      <c r="B140" s="32" t="str">
        <f xml:space="preserve"> _xlfn.XLOOKUP(cubProducts[[#This Row],[Month]], tblCalendar[[#Data],[Month]], tblCalendar[[#Data],[Half Year]])</f>
        <v>2027 H2</v>
      </c>
      <c r="C140" s="32" t="str">
        <f xml:space="preserve"> _xlfn.XLOOKUP(cubProducts[[#This Row],[Month]], tblCalendar[[#Data],[Month]], tblCalendar[[#Data],[Quarter]])</f>
        <v>2027 Q4</v>
      </c>
      <c r="D140" s="22">
        <v>46722</v>
      </c>
      <c r="F140" s="21" t="s">
        <v>137</v>
      </c>
      <c r="G140" s="21" t="s">
        <v>160</v>
      </c>
      <c r="H140" s="23">
        <f t="shared" ca="1" si="20"/>
        <v>100</v>
      </c>
      <c r="I140" s="27">
        <f t="shared" ca="1" si="18"/>
        <v>144.72999999999999</v>
      </c>
      <c r="J140" s="26">
        <f t="shared" ca="1" si="19"/>
        <v>0.42112686109764208</v>
      </c>
      <c r="K140" s="27">
        <f ca="1">cubProducts[[#This Row],[Средняя цена]]*cubProducts[[#This Row],[Продано]]*(100% - cubProducts[[#This Row],[Червивость]])</f>
        <v>8378.0309393338248</v>
      </c>
      <c r="L140" s="21" t="s">
        <v>233</v>
      </c>
    </row>
    <row r="141" spans="1:12" x14ac:dyDescent="0.25">
      <c r="A141" s="32" t="str">
        <f xml:space="preserve"> _xlfn.XLOOKUP(cubProducts[[#This Row],[Month]], tblCalendar[[#Data],[Month]], tblCalendar[[#Data],[Year]])</f>
        <v>2027</v>
      </c>
      <c r="B141" s="32" t="str">
        <f xml:space="preserve"> _xlfn.XLOOKUP(cubProducts[[#This Row],[Month]], tblCalendar[[#Data],[Month]], tblCalendar[[#Data],[Half Year]])</f>
        <v>2027 H2</v>
      </c>
      <c r="C141" s="32" t="str">
        <f xml:space="preserve"> _xlfn.XLOOKUP(cubProducts[[#This Row],[Month]], tblCalendar[[#Data],[Month]], tblCalendar[[#Data],[Quarter]])</f>
        <v>2027 Q4</v>
      </c>
      <c r="D141" s="22">
        <v>46722</v>
      </c>
      <c r="F141" s="21" t="s">
        <v>137</v>
      </c>
      <c r="G141" s="21" t="s">
        <v>161</v>
      </c>
      <c r="H141" s="23">
        <f t="shared" ca="1" si="20"/>
        <v>149</v>
      </c>
      <c r="I141" s="27">
        <f t="shared" ca="1" si="18"/>
        <v>494.61</v>
      </c>
      <c r="J141" s="26">
        <f t="shared" ca="1" si="19"/>
        <v>0.98610528655817553</v>
      </c>
      <c r="K141" s="27">
        <f ca="1">cubProducts[[#This Row],[Средняя цена]]*cubProducts[[#This Row],[Продано]]*(100% - cubProducts[[#This Row],[Червивость]])</f>
        <v>1023.9971681036593</v>
      </c>
      <c r="L141" s="21" t="s">
        <v>233</v>
      </c>
    </row>
    <row r="142" spans="1:12" x14ac:dyDescent="0.25">
      <c r="A142" s="32" t="str">
        <f xml:space="preserve"> _xlfn.XLOOKUP(cubProducts[[#This Row],[Month]], tblCalendar[[#Data],[Month]], tblCalendar[[#Data],[Year]])</f>
        <v>2028</v>
      </c>
      <c r="B142" s="32" t="str">
        <f xml:space="preserve"> _xlfn.XLOOKUP(cubProducts[[#This Row],[Month]], tblCalendar[[#Data],[Month]], tblCalendar[[#Data],[Half Year]])</f>
        <v>2028 H1</v>
      </c>
      <c r="C142" s="32" t="str">
        <f xml:space="preserve"> _xlfn.XLOOKUP(cubProducts[[#This Row],[Month]], tblCalendar[[#Data],[Month]], tblCalendar[[#Data],[Quarter]])</f>
        <v>2028 Q1</v>
      </c>
      <c r="D142" s="22">
        <v>46753</v>
      </c>
      <c r="F142" s="21" t="s">
        <v>136</v>
      </c>
      <c r="G142" s="21" t="s">
        <v>157</v>
      </c>
      <c r="H142" s="23">
        <f ca="1" xml:space="preserve"> RANDBETWEEN(0,200)</f>
        <v>158</v>
      </c>
      <c r="I142" s="27">
        <f ca="1" xml:space="preserve"> ROUNDUP(10 + RAND() * 500, 2)</f>
        <v>479.28999999999996</v>
      </c>
      <c r="J142" s="26">
        <f ca="1" xml:space="preserve"> RAND() * 100%</f>
        <v>0.38735040923795061</v>
      </c>
      <c r="K142" s="27">
        <f ca="1">cubProducts[[#This Row],[Средняя цена]]*cubProducts[[#This Row],[Продано]]*(100% - cubProducts[[#This Row],[Червивость]])</f>
        <v>46394.617932302135</v>
      </c>
      <c r="L142" s="21" t="s">
        <v>233</v>
      </c>
    </row>
    <row r="143" spans="1:12" x14ac:dyDescent="0.25">
      <c r="A143" s="32" t="str">
        <f xml:space="preserve"> _xlfn.XLOOKUP(cubProducts[[#This Row],[Month]], tblCalendar[[#Data],[Month]], tblCalendar[[#Data],[Year]])</f>
        <v>2028</v>
      </c>
      <c r="B143" s="32" t="str">
        <f xml:space="preserve"> _xlfn.XLOOKUP(cubProducts[[#This Row],[Month]], tblCalendar[[#Data],[Month]], tblCalendar[[#Data],[Half Year]])</f>
        <v>2028 H1</v>
      </c>
      <c r="C143" s="32" t="str">
        <f xml:space="preserve"> _xlfn.XLOOKUP(cubProducts[[#This Row],[Month]], tblCalendar[[#Data],[Month]], tblCalendar[[#Data],[Quarter]])</f>
        <v>2028 Q1</v>
      </c>
      <c r="D143" s="22">
        <v>46753</v>
      </c>
      <c r="F143" s="21" t="s">
        <v>136</v>
      </c>
      <c r="G143" s="21" t="s">
        <v>158</v>
      </c>
      <c r="H143" s="23">
        <f t="shared" ref="H143:H146" ca="1" si="21" xml:space="preserve"> RANDBETWEEN(0,200)</f>
        <v>168</v>
      </c>
      <c r="I143" s="27">
        <f t="shared" ref="I143:I146" ca="1" si="22" xml:space="preserve"> ROUNDUP(10 + RAND() * 500, 2)</f>
        <v>25.6</v>
      </c>
      <c r="J143" s="26">
        <f t="shared" ref="J143:J146" ca="1" si="23" xml:space="preserve"> RAND() * 100%</f>
        <v>0.53922703802399352</v>
      </c>
      <c r="K143" s="27">
        <f ca="1">cubProducts[[#This Row],[Средняя цена]]*cubProducts[[#This Row],[Продано]]*(100% - cubProducts[[#This Row],[Червивость]])</f>
        <v>1981.6923548664088</v>
      </c>
      <c r="L143" s="21" t="s">
        <v>233</v>
      </c>
    </row>
    <row r="144" spans="1:12" x14ac:dyDescent="0.25">
      <c r="A144" s="32" t="str">
        <f xml:space="preserve"> _xlfn.XLOOKUP(cubProducts[[#This Row],[Month]], tblCalendar[[#Data],[Month]], tblCalendar[[#Data],[Year]])</f>
        <v>2028</v>
      </c>
      <c r="B144" s="32" t="str">
        <f xml:space="preserve"> _xlfn.XLOOKUP(cubProducts[[#This Row],[Month]], tblCalendar[[#Data],[Month]], tblCalendar[[#Data],[Half Year]])</f>
        <v>2028 H1</v>
      </c>
      <c r="C144" s="32" t="str">
        <f xml:space="preserve"> _xlfn.XLOOKUP(cubProducts[[#This Row],[Month]], tblCalendar[[#Data],[Month]], tblCalendar[[#Data],[Quarter]])</f>
        <v>2028 Q1</v>
      </c>
      <c r="D144" s="22">
        <v>46753</v>
      </c>
      <c r="F144" s="21" t="s">
        <v>136</v>
      </c>
      <c r="G144" s="21" t="s">
        <v>159</v>
      </c>
      <c r="H144" s="23">
        <f t="shared" ca="1" si="21"/>
        <v>163</v>
      </c>
      <c r="I144" s="27">
        <f t="shared" ca="1" si="22"/>
        <v>35.65</v>
      </c>
      <c r="J144" s="26">
        <f t="shared" ca="1" si="23"/>
        <v>0.30549922525364159</v>
      </c>
      <c r="K144" s="27">
        <f ca="1">cubProducts[[#This Row],[Средняя цена]]*cubProducts[[#This Row],[Продано]]*(100% - cubProducts[[#This Row],[Червивость]])</f>
        <v>4035.7092770123513</v>
      </c>
      <c r="L144" s="21" t="s">
        <v>233</v>
      </c>
    </row>
    <row r="145" spans="1:12" x14ac:dyDescent="0.25">
      <c r="A145" s="32" t="str">
        <f xml:space="preserve"> _xlfn.XLOOKUP(cubProducts[[#This Row],[Month]], tblCalendar[[#Data],[Month]], tblCalendar[[#Data],[Year]])</f>
        <v>2028</v>
      </c>
      <c r="B145" s="32" t="str">
        <f xml:space="preserve"> _xlfn.XLOOKUP(cubProducts[[#This Row],[Month]], tblCalendar[[#Data],[Month]], tblCalendar[[#Data],[Half Year]])</f>
        <v>2028 H1</v>
      </c>
      <c r="C145" s="32" t="str">
        <f xml:space="preserve"> _xlfn.XLOOKUP(cubProducts[[#This Row],[Month]], tblCalendar[[#Data],[Month]], tblCalendar[[#Data],[Quarter]])</f>
        <v>2028 Q1</v>
      </c>
      <c r="D145" s="22">
        <v>46753</v>
      </c>
      <c r="F145" s="21" t="s">
        <v>137</v>
      </c>
      <c r="G145" s="21" t="s">
        <v>160</v>
      </c>
      <c r="H145" s="23">
        <f t="shared" ca="1" si="21"/>
        <v>187</v>
      </c>
      <c r="I145" s="27">
        <f t="shared" ca="1" si="22"/>
        <v>57.89</v>
      </c>
      <c r="J145" s="26">
        <f t="shared" ca="1" si="23"/>
        <v>0.23745313998126039</v>
      </c>
      <c r="K145" s="27">
        <f ca="1">cubProducts[[#This Row],[Средняя цена]]*cubProducts[[#This Row],[Продано]]*(100% - cubProducts[[#This Row],[Червивость]])</f>
        <v>8254.8976548526643</v>
      </c>
      <c r="L145" s="21" t="s">
        <v>233</v>
      </c>
    </row>
    <row r="146" spans="1:12" x14ac:dyDescent="0.25">
      <c r="A146" s="32" t="str">
        <f xml:space="preserve"> _xlfn.XLOOKUP(cubProducts[[#This Row],[Month]], tblCalendar[[#Data],[Month]], tblCalendar[[#Data],[Year]])</f>
        <v>2028</v>
      </c>
      <c r="B146" s="32" t="str">
        <f xml:space="preserve"> _xlfn.XLOOKUP(cubProducts[[#This Row],[Month]], tblCalendar[[#Data],[Month]], tblCalendar[[#Data],[Half Year]])</f>
        <v>2028 H1</v>
      </c>
      <c r="C146" s="32" t="str">
        <f xml:space="preserve"> _xlfn.XLOOKUP(cubProducts[[#This Row],[Month]], tblCalendar[[#Data],[Month]], tblCalendar[[#Data],[Quarter]])</f>
        <v>2028 Q1</v>
      </c>
      <c r="D146" s="22">
        <v>46753</v>
      </c>
      <c r="F146" s="21" t="s">
        <v>137</v>
      </c>
      <c r="G146" s="21" t="s">
        <v>161</v>
      </c>
      <c r="H146" s="23">
        <f t="shared" ca="1" si="21"/>
        <v>137</v>
      </c>
      <c r="I146" s="27">
        <f t="shared" ca="1" si="22"/>
        <v>435.8</v>
      </c>
      <c r="J146" s="26">
        <f t="shared" ca="1" si="23"/>
        <v>0.90383116670021246</v>
      </c>
      <c r="K146" s="27">
        <f ca="1">cubProducts[[#This Row],[Средняя цена]]*cubProducts[[#This Row],[Продано]]*(100% - cubProducts[[#This Row],[Червивость]])</f>
        <v>5741.7217246304945</v>
      </c>
      <c r="L146" s="21" t="s">
        <v>233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3E4F-B68E-4708-BE9B-5C84D4F1EBBD}">
  <dimension ref="A1:ER29"/>
  <sheetViews>
    <sheetView zoomScale="145" zoomScaleNormal="145" workbookViewId="0">
      <selection activeCell="C12" sqref="C12"/>
    </sheetView>
  </sheetViews>
  <sheetFormatPr defaultRowHeight="13.5" x14ac:dyDescent="0.25"/>
  <cols>
    <col min="1" max="1" width="18" style="21" bestFit="1" customWidth="1"/>
    <col min="2" max="2" width="15.5" style="21" bestFit="1" customWidth="1"/>
    <col min="3" max="3" width="19.1640625" style="21" bestFit="1" customWidth="1"/>
    <col min="4" max="6" width="14.33203125" style="21" bestFit="1" customWidth="1"/>
    <col min="7" max="7" width="15.5" style="21" bestFit="1" customWidth="1"/>
    <col min="8" max="9" width="14.33203125" style="21" bestFit="1" customWidth="1"/>
    <col min="10" max="10" width="21.6640625" style="21" bestFit="1" customWidth="1"/>
    <col min="11" max="11" width="14.33203125" style="21" bestFit="1" customWidth="1"/>
    <col min="12" max="12" width="27.83203125" style="21" bestFit="1" customWidth="1"/>
    <col min="13" max="13" width="9.5" style="21" bestFit="1" customWidth="1"/>
    <col min="14" max="14" width="21.6640625" style="21" bestFit="1" customWidth="1"/>
    <col min="15" max="15" width="14.33203125" style="21" bestFit="1" customWidth="1"/>
    <col min="16" max="16" width="27.83203125" style="21" bestFit="1" customWidth="1"/>
    <col min="17" max="17" width="14.33203125" style="21" bestFit="1" customWidth="1"/>
    <col min="18" max="18" width="27.83203125" style="21" bestFit="1" customWidth="1"/>
    <col min="19" max="31" width="9.5" style="21" bestFit="1" customWidth="1"/>
    <col min="32" max="32" width="18" style="21" bestFit="1" customWidth="1"/>
    <col min="33" max="34" width="14.33203125" style="21" bestFit="1" customWidth="1"/>
    <col min="35" max="35" width="9.5" style="21" bestFit="1" customWidth="1"/>
    <col min="36" max="36" width="8.33203125" style="21" bestFit="1" customWidth="1"/>
    <col min="37" max="37" width="9.5" style="21" bestFit="1" customWidth="1"/>
    <col min="38" max="38" width="8.33203125" style="21" bestFit="1" customWidth="1"/>
    <col min="39" max="39" width="9.5" style="21" bestFit="1" customWidth="1"/>
    <col min="40" max="40" width="8.33203125" style="21" bestFit="1" customWidth="1"/>
    <col min="41" max="41" width="9.5" style="21" bestFit="1" customWidth="1"/>
    <col min="42" max="42" width="8.33203125" style="21" bestFit="1" customWidth="1"/>
    <col min="43" max="43" width="9.5" style="21" bestFit="1" customWidth="1"/>
    <col min="44" max="44" width="8.33203125" style="21" bestFit="1" customWidth="1"/>
    <col min="45" max="45" width="9.5" style="21" bestFit="1" customWidth="1"/>
    <col min="46" max="46" width="8.33203125" style="21" bestFit="1" customWidth="1"/>
    <col min="47" max="47" width="9.5" style="21" bestFit="1" customWidth="1"/>
    <col min="48" max="48" width="8.33203125" style="21" bestFit="1" customWidth="1"/>
    <col min="49" max="49" width="9.5" style="21" bestFit="1" customWidth="1"/>
    <col min="50" max="50" width="8.33203125" style="21" bestFit="1" customWidth="1"/>
    <col min="51" max="52" width="14.33203125" style="21" bestFit="1" customWidth="1"/>
    <col min="53" max="53" width="9.5" style="21" bestFit="1" customWidth="1"/>
    <col min="54" max="54" width="8.33203125" style="21" bestFit="1" customWidth="1"/>
    <col min="55" max="56" width="14.33203125" style="21" bestFit="1" customWidth="1"/>
    <col min="57" max="57" width="9.5" style="21" bestFit="1" customWidth="1"/>
    <col min="58" max="58" width="8.33203125" style="21" bestFit="1" customWidth="1"/>
    <col min="59" max="60" width="14.33203125" style="21" bestFit="1" customWidth="1"/>
    <col min="61" max="61" width="9.5" style="21" bestFit="1" customWidth="1"/>
    <col min="62" max="62" width="8.33203125" style="21" bestFit="1" customWidth="1"/>
    <col min="63" max="64" width="14.33203125" style="21" bestFit="1" customWidth="1"/>
    <col min="65" max="65" width="9.5" style="21" bestFit="1" customWidth="1"/>
    <col min="66" max="66" width="8.33203125" style="21" bestFit="1" customWidth="1"/>
    <col min="67" max="67" width="9.5" style="21" bestFit="1" customWidth="1"/>
    <col min="68" max="68" width="8.33203125" style="21" bestFit="1" customWidth="1"/>
    <col min="69" max="69" width="9.5" style="21" bestFit="1" customWidth="1"/>
    <col min="70" max="70" width="8.33203125" style="21" bestFit="1" customWidth="1"/>
    <col min="71" max="72" width="13.1640625" style="21" bestFit="1" customWidth="1"/>
    <col min="73" max="73" width="9.5" style="21" bestFit="1" customWidth="1"/>
    <col min="74" max="74" width="8.33203125" style="21" bestFit="1" customWidth="1"/>
    <col min="75" max="75" width="9.5" style="21" bestFit="1" customWidth="1"/>
    <col min="76" max="76" width="8.33203125" style="21" bestFit="1" customWidth="1"/>
    <col min="77" max="77" width="9.5" style="21" bestFit="1" customWidth="1"/>
    <col min="78" max="78" width="8.33203125" style="21" bestFit="1" customWidth="1"/>
    <col min="79" max="80" width="13.1640625" style="21" bestFit="1" customWidth="1"/>
    <col min="81" max="81" width="9.5" style="21" bestFit="1" customWidth="1"/>
    <col min="82" max="82" width="8.33203125" style="21" bestFit="1" customWidth="1"/>
    <col min="83" max="83" width="9.5" style="21" bestFit="1" customWidth="1"/>
    <col min="84" max="84" width="8.33203125" style="21" bestFit="1" customWidth="1"/>
    <col min="85" max="86" width="13.1640625" style="21" bestFit="1" customWidth="1"/>
    <col min="87" max="88" width="14.33203125" style="21" bestFit="1" customWidth="1"/>
    <col min="89" max="90" width="13.1640625" style="21" bestFit="1" customWidth="1"/>
    <col min="91" max="92" width="14.33203125" style="21" bestFit="1" customWidth="1"/>
    <col min="93" max="93" width="9.5" style="21" bestFit="1" customWidth="1"/>
    <col min="94" max="94" width="8.33203125" style="21" bestFit="1" customWidth="1"/>
    <col min="95" max="96" width="13.1640625" style="21" bestFit="1" customWidth="1"/>
    <col min="97" max="97" width="9.5" style="21" bestFit="1" customWidth="1"/>
    <col min="98" max="98" width="8.33203125" style="21" bestFit="1" customWidth="1"/>
    <col min="99" max="100" width="13.1640625" style="21" bestFit="1" customWidth="1"/>
    <col min="101" max="101" width="9.5" style="21" bestFit="1" customWidth="1"/>
    <col min="102" max="102" width="8.33203125" style="21" bestFit="1" customWidth="1"/>
    <col min="103" max="104" width="13.1640625" style="21" bestFit="1" customWidth="1"/>
    <col min="105" max="106" width="14.33203125" style="21" bestFit="1" customWidth="1"/>
    <col min="107" max="107" width="9.5" style="21" bestFit="1" customWidth="1"/>
    <col min="108" max="108" width="8.33203125" style="21" bestFit="1" customWidth="1"/>
    <col min="109" max="110" width="13.1640625" style="21" bestFit="1" customWidth="1"/>
    <col min="111" max="111" width="9.5" style="21" bestFit="1" customWidth="1"/>
    <col min="112" max="112" width="8.33203125" style="21" bestFit="1" customWidth="1"/>
    <col min="113" max="114" width="13.1640625" style="21" bestFit="1" customWidth="1"/>
    <col min="115" max="116" width="14.33203125" style="21" bestFit="1" customWidth="1"/>
    <col min="117" max="117" width="9.5" style="21" bestFit="1" customWidth="1"/>
    <col min="118" max="118" width="8.33203125" style="21" bestFit="1" customWidth="1"/>
    <col min="119" max="120" width="13.1640625" style="21" bestFit="1" customWidth="1"/>
    <col min="121" max="121" width="9.5" style="21" bestFit="1" customWidth="1"/>
    <col min="122" max="122" width="8.33203125" style="21" bestFit="1" customWidth="1"/>
    <col min="123" max="124" width="13.1640625" style="21" bestFit="1" customWidth="1"/>
    <col min="125" max="125" width="9.5" style="21" bestFit="1" customWidth="1"/>
    <col min="126" max="126" width="8.33203125" style="21" bestFit="1" customWidth="1"/>
    <col min="127" max="128" width="13.1640625" style="21" bestFit="1" customWidth="1"/>
    <col min="129" max="132" width="14.33203125" style="21" bestFit="1" customWidth="1"/>
    <col min="133" max="133" width="9.5" style="21" bestFit="1" customWidth="1"/>
    <col min="134" max="134" width="8.33203125" style="21" bestFit="1" customWidth="1"/>
    <col min="135" max="136" width="13.1640625" style="21" bestFit="1" customWidth="1"/>
    <col min="137" max="140" width="14.33203125" style="21" bestFit="1" customWidth="1"/>
    <col min="141" max="142" width="13.1640625" style="21" bestFit="1" customWidth="1"/>
    <col min="143" max="148" width="14.33203125" style="21" bestFit="1" customWidth="1"/>
    <col min="149" max="16384" width="9.33203125" style="21"/>
  </cols>
  <sheetData>
    <row r="1" spans="1:148" x14ac:dyDescent="0.25">
      <c r="A1"/>
      <c r="B1"/>
    </row>
    <row r="2" spans="1:148" x14ac:dyDescent="0.25">
      <c r="A2"/>
      <c r="B2"/>
    </row>
    <row r="3" spans="1:148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</row>
    <row r="4" spans="1:148" x14ac:dyDescent="0.25">
      <c r="A4" s="24" t="s">
        <v>236</v>
      </c>
      <c r="B4" s="21" t="s">
        <v>232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</row>
    <row r="5" spans="1:148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</row>
    <row r="6" spans="1:148" x14ac:dyDescent="0.25">
      <c r="A6" s="24" t="s">
        <v>156</v>
      </c>
      <c r="C6" s="24" t="s">
        <v>141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</row>
    <row r="7" spans="1:148" x14ac:dyDescent="0.25">
      <c r="C7" s="21">
        <v>2025</v>
      </c>
      <c r="G7" s="21" t="s">
        <v>145</v>
      </c>
      <c r="H7" s="21">
        <v>2026</v>
      </c>
      <c r="I7" s="21" t="s">
        <v>146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</row>
    <row r="8" spans="1:148" x14ac:dyDescent="0.25">
      <c r="A8" s="24" t="s">
        <v>142</v>
      </c>
      <c r="B8" s="24" t="s">
        <v>133</v>
      </c>
      <c r="C8" s="22">
        <v>45901</v>
      </c>
      <c r="D8" s="22">
        <v>45931</v>
      </c>
      <c r="E8" s="22">
        <v>45962</v>
      </c>
      <c r="F8" s="22">
        <v>45992</v>
      </c>
      <c r="H8" s="22">
        <v>46023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</row>
    <row r="9" spans="1:148" x14ac:dyDescent="0.25">
      <c r="A9" s="21" t="s">
        <v>137</v>
      </c>
      <c r="B9" s="21" t="s">
        <v>160</v>
      </c>
      <c r="C9" s="27">
        <v>495.08148084249729</v>
      </c>
      <c r="D9" s="27">
        <v>689.27018089563182</v>
      </c>
      <c r="E9" s="27">
        <v>2430.2111912420155</v>
      </c>
      <c r="F9" s="27">
        <v>37267.19842381942</v>
      </c>
      <c r="G9" s="27">
        <v>40881.761276799567</v>
      </c>
      <c r="H9" s="27">
        <v>15277.07446077959</v>
      </c>
      <c r="I9" s="27">
        <v>15277.07446077959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</row>
    <row r="10" spans="1:148" x14ac:dyDescent="0.25">
      <c r="B10" s="21" t="s">
        <v>161</v>
      </c>
      <c r="C10" s="27">
        <v>1323.3630977592672</v>
      </c>
      <c r="D10" s="27">
        <v>21765.489389540282</v>
      </c>
      <c r="E10" s="27">
        <v>36453.268398512795</v>
      </c>
      <c r="F10" s="27">
        <v>10373.981965989613</v>
      </c>
      <c r="G10" s="27">
        <v>69916.102851801959</v>
      </c>
      <c r="H10" s="27">
        <v>60007.244802799942</v>
      </c>
      <c r="I10" s="27">
        <v>60007.244802799942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</row>
    <row r="11" spans="1:148" x14ac:dyDescent="0.25">
      <c r="A11" s="36" t="s">
        <v>143</v>
      </c>
      <c r="B11" s="36"/>
      <c r="C11" s="37">
        <v>1818.4445786017645</v>
      </c>
      <c r="D11" s="37">
        <v>22454.759570435916</v>
      </c>
      <c r="E11" s="37">
        <v>38883.47958975481</v>
      </c>
      <c r="F11" s="37">
        <v>47641.180389809029</v>
      </c>
      <c r="G11" s="37">
        <v>110797.86412860153</v>
      </c>
      <c r="H11" s="37">
        <v>75284.319263579528</v>
      </c>
      <c r="I11" s="37">
        <v>75284.319263579528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</row>
    <row r="12" spans="1:148" x14ac:dyDescent="0.25">
      <c r="A12" s="21" t="s">
        <v>136</v>
      </c>
      <c r="B12" s="21" t="s">
        <v>157</v>
      </c>
      <c r="C12" s="27">
        <v>35078.963457993821</v>
      </c>
      <c r="D12" s="27">
        <v>4433.2850521577475</v>
      </c>
      <c r="E12" s="27">
        <v>61194.416104167009</v>
      </c>
      <c r="F12" s="27">
        <v>5077.4722739976869</v>
      </c>
      <c r="G12" s="27">
        <v>105784.13688831626</v>
      </c>
      <c r="H12" s="27">
        <v>1446.0144205839133</v>
      </c>
      <c r="I12" s="27">
        <v>1446.0144205839133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</row>
    <row r="13" spans="1:148" x14ac:dyDescent="0.25">
      <c r="B13" s="21" t="s">
        <v>158</v>
      </c>
      <c r="C13" s="27">
        <v>1269.6621933042923</v>
      </c>
      <c r="D13" s="27">
        <v>14884.548958823332</v>
      </c>
      <c r="E13" s="27">
        <v>8052.5972717024697</v>
      </c>
      <c r="F13" s="27">
        <v>12260.245060725527</v>
      </c>
      <c r="G13" s="27">
        <v>36467.053484555625</v>
      </c>
      <c r="H13" s="27">
        <v>4043.0833480831407</v>
      </c>
      <c r="I13" s="27">
        <v>4043.0833480831407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</row>
    <row r="14" spans="1:148" x14ac:dyDescent="0.25">
      <c r="B14" s="21" t="s">
        <v>159</v>
      </c>
      <c r="C14" s="27">
        <v>1226.4517981893196</v>
      </c>
      <c r="D14" s="27">
        <v>58068.065278757727</v>
      </c>
      <c r="E14" s="27">
        <v>1462.2666038597113</v>
      </c>
      <c r="F14" s="27">
        <v>28879.865140746377</v>
      </c>
      <c r="G14" s="27">
        <v>89636.648821553128</v>
      </c>
      <c r="H14" s="27">
        <v>9559.7941904998715</v>
      </c>
      <c r="I14" s="27">
        <v>9559.7941904998715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</row>
    <row r="15" spans="1:148" x14ac:dyDescent="0.25">
      <c r="A15" s="36" t="s">
        <v>144</v>
      </c>
      <c r="B15" s="36"/>
      <c r="C15" s="37">
        <v>37575.077449487435</v>
      </c>
      <c r="D15" s="37">
        <v>77385.899289738809</v>
      </c>
      <c r="E15" s="37">
        <v>70709.279979729181</v>
      </c>
      <c r="F15" s="37">
        <v>46217.582475469593</v>
      </c>
      <c r="G15" s="37">
        <v>231887.839194425</v>
      </c>
      <c r="H15" s="37">
        <v>15048.891959166926</v>
      </c>
      <c r="I15" s="37">
        <v>15048.891959166926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</row>
    <row r="16" spans="1:148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</row>
    <row r="17" spans="1:47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1:47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47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1:47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47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9" spans="1:47" x14ac:dyDescent="0.25">
      <c r="I29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BI →CPM License Mapping</vt:lpstr>
      <vt:lpstr>Raw Data</vt:lpstr>
      <vt:lpstr>Data Cube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Marcus</dc:creator>
  <cp:lastModifiedBy>Gordon Marcus</cp:lastModifiedBy>
  <dcterms:created xsi:type="dcterms:W3CDTF">2025-09-18T08:51:40Z</dcterms:created>
  <dcterms:modified xsi:type="dcterms:W3CDTF">2025-09-24T10:29:40Z</dcterms:modified>
</cp:coreProperties>
</file>